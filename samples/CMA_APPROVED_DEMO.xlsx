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orm I - Borrower" sheetId="2" state="visible" r:id="rId2"/>
    <sheet name="Promoter Net Worth" sheetId="3" state="visible" r:id="rId3"/>
    <sheet name="CA Observations" sheetId="4" state="visible" r:id="rId4"/>
    <sheet name="Credit Appraisal Note" sheetId="5" state="visible" r:id="rId5"/>
    <sheet name="Operating Statement" sheetId="6" state="visible" r:id="rId6"/>
    <sheet name="Balance Sheet" sheetId="7" state="visible" r:id="rId7"/>
    <sheet name="Depreciation Chart" sheetId="8" state="visible" r:id="rId8"/>
    <sheet name="Comparative Statement" sheetId="9" state="visible" r:id="rId9"/>
    <sheet name="Ratio Analysis" sheetId="10" state="visible" r:id="rId10"/>
    <sheet name="Turnover Method" sheetId="11" state="visible" r:id="rId11"/>
    <sheet name="MPBF" sheetId="12" state="visible" r:id="rId12"/>
    <sheet name="Assessed Bank Finance" sheetId="13" state="visible" r:id="rId13"/>
    <sheet name="Security &amp; Collateral" sheetId="14" state="visible" r:id="rId14"/>
    <sheet name="TL Repayment Schedule" sheetId="15" state="visible" r:id="rId15"/>
    <sheet name="Fund Flow Statement" sheetId="16" state="visible" r:id="rId16"/>
    <sheet name="Cash Flow" sheetId="17" state="visible" r:id="rId17"/>
    <sheet name="DSCR Analysis" sheetId="18" state="visible" r:id="rId18"/>
    <sheet name="Breakeven Analysis" sheetId="19" state="visible" r:id="rId19"/>
    <sheet name="Sensitivity Analysi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9"/>
    </font>
    <font>
      <b val="1"/>
      <sz val="9"/>
    </font>
    <font>
      <i val="1"/>
      <color rgb="00475569"/>
      <sz val="8"/>
    </font>
    <font>
      <b val="1"/>
      <color rgb="000D9488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3" fontId="6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3" fontId="3" fillId="3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2" customHeight="1">
      <c r="A1" s="1" t="inlineStr">
        <is>
          <t>Summary</t>
        </is>
      </c>
    </row>
    <row r="2">
      <c r="A2" s="2" t="inlineStr">
        <is>
          <t>Field</t>
        </is>
      </c>
      <c r="B2" s="2" t="inlineStr">
        <is>
          <t>Details</t>
        </is>
      </c>
    </row>
    <row r="3">
      <c r="A3" s="3" t="inlineStr">
        <is>
          <t>Firm Name</t>
        </is>
      </c>
      <c r="B3" s="4" t="inlineStr">
        <is>
          <t>Deshmukh Polymers Pvt Ltd</t>
        </is>
      </c>
    </row>
    <row r="4">
      <c r="A4" s="3" t="inlineStr">
        <is>
          <t>Promoter</t>
        </is>
      </c>
      <c r="B4" s="4" t="inlineStr">
        <is>
          <t>Anil Deshmukh</t>
        </is>
      </c>
    </row>
    <row r="5">
      <c r="A5" s="3" t="inlineStr">
        <is>
          <t>Constitution</t>
        </is>
      </c>
      <c r="B5" s="4" t="inlineStr">
        <is>
          <t>Pvt Ltd</t>
        </is>
      </c>
    </row>
    <row r="6">
      <c r="A6" s="3" t="inlineStr">
        <is>
          <t>Activity / Industry</t>
        </is>
      </c>
      <c r="B6" s="4" t="inlineStr">
        <is>
          <t>Manufacturing</t>
        </is>
      </c>
    </row>
    <row r="7">
      <c r="A7" s="3" t="inlineStr">
        <is>
          <t>PAN No.</t>
        </is>
      </c>
      <c r="B7" s="4" t="inlineStr">
        <is>
          <t>AXImid1234K</t>
        </is>
      </c>
    </row>
    <row r="8">
      <c r="A8" s="3" t="inlineStr">
        <is>
          <t>Commencement Date</t>
        </is>
      </c>
      <c r="B8" s="4" t="inlineStr">
        <is>
          <t>2025-04-01</t>
        </is>
      </c>
    </row>
    <row r="9">
      <c r="A9" s="3" t="inlineStr">
        <is>
          <t>Project Cost</t>
        </is>
      </c>
      <c r="B9" s="4" t="n">
        <v>3630000</v>
      </c>
    </row>
    <row r="10">
      <c r="A10" s="3" t="inlineStr">
        <is>
          <t>Means of Finance</t>
        </is>
      </c>
      <c r="B10" s="4" t="n">
        <v>3630000</v>
      </c>
    </row>
    <row r="11">
      <c r="A11" s="3" t="inlineStr">
        <is>
          <t>Term Loan</t>
        </is>
      </c>
      <c r="B11" s="4" t="n">
        <v>2100000</v>
      </c>
    </row>
    <row r="12">
      <c r="A12" s="3" t="inlineStr">
        <is>
          <t>Interest Rate (%)</t>
        </is>
      </c>
      <c r="B12" s="4" t="n">
        <v>10.5</v>
      </c>
    </row>
    <row r="13">
      <c r="A13" s="3" t="inlineStr">
        <is>
          <t>Tenure (months)</t>
        </is>
      </c>
      <c r="B13" s="4" t="n">
        <v>84</v>
      </c>
    </row>
    <row r="14">
      <c r="A14" s="3" t="inlineStr">
        <is>
          <t>Moratorium (months)</t>
        </is>
      </c>
      <c r="B14" s="4" t="n">
        <v>6</v>
      </c>
    </row>
    <row r="15">
      <c r="A15" s="3" t="inlineStr">
        <is>
          <t>Existing Business</t>
        </is>
      </c>
      <c r="B15" s="4" t="inlineStr">
        <is>
          <t>No</t>
        </is>
      </c>
    </row>
    <row r="16">
      <c r="A16" s="3" t="inlineStr">
        <is>
          <t>Average DSCR</t>
        </is>
      </c>
      <c r="B16" s="4" t="n">
        <v>7.87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2" customHeight="1">
      <c r="A1" s="1" t="inlineStr">
        <is>
          <t>Form I - Particulars of Borrower</t>
        </is>
      </c>
    </row>
    <row r="2">
      <c r="A2" s="2" t="inlineStr">
        <is>
          <t>Field</t>
        </is>
      </c>
      <c r="B2" s="2" t="inlineStr">
        <is>
          <t>Details</t>
        </is>
      </c>
    </row>
    <row r="3">
      <c r="A3" s="3" t="inlineStr">
        <is>
          <t>A. APPLICANT / PROMOTER</t>
        </is>
      </c>
      <c r="B3" s="4" t="inlineStr"/>
    </row>
    <row r="4">
      <c r="A4" s="3" t="inlineStr">
        <is>
          <t>Name</t>
        </is>
      </c>
      <c r="B4" s="4" t="inlineStr">
        <is>
          <t>Anil Deshmukh</t>
        </is>
      </c>
    </row>
    <row r="5">
      <c r="A5" s="3" t="inlineStr">
        <is>
          <t>Father / Spouse Name</t>
        </is>
      </c>
      <c r="B5" s="4" t="inlineStr">
        <is>
          <t>Vasant</t>
        </is>
      </c>
    </row>
    <row r="6">
      <c r="A6" s="3" t="inlineStr">
        <is>
          <t>Date of Birth</t>
        </is>
      </c>
      <c r="B6" s="4" t="inlineStr">
        <is>
          <t>1982-06-15</t>
        </is>
      </c>
    </row>
    <row r="7">
      <c r="A7" s="3" t="inlineStr">
        <is>
          <t>PAN</t>
        </is>
      </c>
      <c r="B7" s="4" t="inlineStr">
        <is>
          <t>AXImid1234K</t>
        </is>
      </c>
    </row>
    <row r="8">
      <c r="A8" s="3" t="inlineStr">
        <is>
          <t>Aadhaar</t>
        </is>
      </c>
      <c r="B8" s="4" t="inlineStr">
        <is>
          <t>2233</t>
        </is>
      </c>
    </row>
    <row r="9">
      <c r="A9" s="3" t="inlineStr">
        <is>
          <t>Mobile</t>
        </is>
      </c>
      <c r="B9" s="4" t="inlineStr">
        <is>
          <t>9822</t>
        </is>
      </c>
    </row>
    <row r="10">
      <c r="A10" s="3" t="inlineStr">
        <is>
          <t>Email</t>
        </is>
      </c>
      <c r="B10" s="4" t="inlineStr">
        <is>
          <t>anil@x.in</t>
        </is>
      </c>
    </row>
    <row r="11">
      <c r="A11" s="3" t="inlineStr">
        <is>
          <t>Address</t>
        </is>
      </c>
      <c r="B11" s="4" t="inlineStr">
        <is>
          <t>Chakan MIDC, Pune, MH, 410501</t>
        </is>
      </c>
    </row>
    <row r="12">
      <c r="A12" s="3" t="inlineStr">
        <is>
          <t>Education</t>
        </is>
      </c>
      <c r="B12" s="4" t="inlineStr">
        <is>
          <t>B.Tech, MBA</t>
        </is>
      </c>
    </row>
    <row r="13">
      <c r="A13" s="3" t="inlineStr">
        <is>
          <t>Experience (years)</t>
        </is>
      </c>
      <c r="B13" s="4" t="n">
        <v>12</v>
      </c>
    </row>
    <row r="14">
      <c r="A14" s="3" t="inlineStr">
        <is>
          <t>B. BUSINESS / UNIT</t>
        </is>
      </c>
      <c r="B14" s="4" t="inlineStr"/>
    </row>
    <row r="15">
      <c r="A15" s="3" t="inlineStr">
        <is>
          <t>Entity Name</t>
        </is>
      </c>
      <c r="B15" s="4" t="inlineStr">
        <is>
          <t>Deshmukh Polymers Pvt Ltd</t>
        </is>
      </c>
    </row>
    <row r="16">
      <c r="A16" s="3" t="inlineStr">
        <is>
          <t>Constitution</t>
        </is>
      </c>
      <c r="B16" s="4" t="inlineStr">
        <is>
          <t>Pvt Ltd</t>
        </is>
      </c>
    </row>
    <row r="17">
      <c r="A17" s="3" t="inlineStr">
        <is>
          <t>Activity / Industry</t>
        </is>
      </c>
      <c r="B17" s="4" t="inlineStr">
        <is>
          <t>Manufacturing</t>
        </is>
      </c>
    </row>
    <row r="18">
      <c r="A18" s="3" t="inlineStr">
        <is>
          <t>GST Number</t>
        </is>
      </c>
      <c r="B18" s="4" t="inlineStr">
        <is>
          <t>27AAECD1234K1Z9</t>
        </is>
      </c>
    </row>
    <row r="19">
      <c r="A19" s="3" t="inlineStr">
        <is>
          <t>Udyam Registration</t>
        </is>
      </c>
      <c r="B19" s="4" t="inlineStr">
        <is>
          <t>UDYAM-MH-26-0045678</t>
        </is>
      </c>
    </row>
    <row r="20">
      <c r="A20" s="3" t="inlineStr">
        <is>
          <t>IEC (Export)</t>
        </is>
      </c>
      <c r="B20" s="4" t="inlineStr">
        <is>
          <t>AAECD1234K</t>
        </is>
      </c>
    </row>
    <row r="21">
      <c r="A21" s="3" t="inlineStr">
        <is>
          <t>Commencement Date</t>
        </is>
      </c>
      <c r="B21" s="4" t="inlineStr">
        <is>
          <t>2025-04-01</t>
        </is>
      </c>
    </row>
    <row r="22">
      <c r="A22" s="3" t="inlineStr">
        <is>
          <t>C. FACILITY SOUGHT</t>
        </is>
      </c>
      <c r="B22" s="4" t="inlineStr"/>
    </row>
    <row r="23">
      <c r="A23" s="3" t="inlineStr">
        <is>
          <t>Purpose</t>
        </is>
      </c>
      <c r="B23" s="4" t="inlineStr">
        <is>
          <t>Injection-moulding unit</t>
        </is>
      </c>
    </row>
    <row r="24">
      <c r="A24" s="3" t="inlineStr">
        <is>
          <t>Loan Type</t>
        </is>
      </c>
      <c r="B24" s="4" t="inlineStr">
        <is>
          <t>Term Loan + CC</t>
        </is>
      </c>
    </row>
    <row r="25">
      <c r="A25" s="3" t="inlineStr">
        <is>
          <t>Scheme</t>
        </is>
      </c>
      <c r="B25" s="4" t="inlineStr">
        <is>
          <t>CGTMSE</t>
        </is>
      </c>
    </row>
    <row r="26">
      <c r="A26" s="3" t="inlineStr">
        <is>
          <t>Preferred Bank</t>
        </is>
      </c>
      <c r="B26" s="4" t="inlineStr">
        <is>
          <t>Bank of Maharashtra</t>
        </is>
      </c>
    </row>
    <row r="27">
      <c r="A27" s="3" t="inlineStr">
        <is>
          <t>Amount</t>
        </is>
      </c>
      <c r="B27" s="4" t="n">
        <v>2100000</v>
      </c>
    </row>
    <row r="28">
      <c r="A28" s="3" t="inlineStr">
        <is>
          <t>Interest Rate (%)</t>
        </is>
      </c>
      <c r="B28" s="4" t="n">
        <v>10.5</v>
      </c>
    </row>
    <row r="29">
      <c r="A29" s="3" t="inlineStr">
        <is>
          <t>Tenure (months)</t>
        </is>
      </c>
      <c r="B29" s="4" t="n">
        <v>84</v>
      </c>
    </row>
    <row r="30">
      <c r="A30" s="3" t="inlineStr">
        <is>
          <t>Moratorium (months)</t>
        </is>
      </c>
      <c r="B30" s="4" t="n">
        <v>6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</cols>
  <sheetData>
    <row r="1" ht="22" customHeight="1">
      <c r="A1" s="1" t="inlineStr">
        <is>
          <t>Promoter's Net Worth Statement</t>
        </is>
      </c>
    </row>
    <row r="2">
      <c r="A2" s="5" t="inlineStr">
        <is>
          <t>Particulars</t>
        </is>
      </c>
      <c r="B2" s="6" t="inlineStr">
        <is>
          <t>Amount</t>
        </is>
      </c>
    </row>
    <row r="3">
      <c r="A3" s="7" t="inlineStr"/>
      <c r="B3" s="8" t="inlineStr">
        <is>
          <t>(Rs.)</t>
        </is>
      </c>
    </row>
    <row r="4">
      <c r="A4" s="9" t="inlineStr">
        <is>
          <t>A. ASSETS</t>
        </is>
      </c>
    </row>
    <row r="5">
      <c r="A5" s="10" t="inlineStr">
        <is>
          <t>Residential Property</t>
        </is>
      </c>
      <c r="B5" s="11" t="n">
        <v>4500000</v>
      </c>
    </row>
    <row r="6">
      <c r="A6" s="10" t="inlineStr">
        <is>
          <t>Commercial Property</t>
        </is>
      </c>
      <c r="B6" s="11" t="n">
        <v>0</v>
      </c>
    </row>
    <row r="7">
      <c r="A7" s="10" t="inlineStr">
        <is>
          <t>Fixed Deposits</t>
        </is>
      </c>
      <c r="B7" s="11" t="n">
        <v>800000</v>
      </c>
    </row>
    <row r="8">
      <c r="A8" s="10" t="inlineStr">
        <is>
          <t>Savings / Bank Balance</t>
        </is>
      </c>
      <c r="B8" s="11" t="n">
        <v>400000</v>
      </c>
    </row>
    <row r="9">
      <c r="A9" s="10" t="inlineStr">
        <is>
          <t>Mutual Funds</t>
        </is>
      </c>
      <c r="B9" s="11" t="n">
        <v>300000</v>
      </c>
    </row>
    <row r="10">
      <c r="A10" s="10" t="inlineStr">
        <is>
          <t>Shares / Securities</t>
        </is>
      </c>
      <c r="B10" s="11" t="n">
        <v>150000</v>
      </c>
    </row>
    <row r="11">
      <c r="A11" s="10" t="inlineStr">
        <is>
          <t>Gold / Jewellery</t>
        </is>
      </c>
      <c r="B11" s="11" t="n">
        <v>500000</v>
      </c>
    </row>
    <row r="12">
      <c r="A12" s="10" t="inlineStr">
        <is>
          <t>Other Assets</t>
        </is>
      </c>
      <c r="B12" s="11" t="n">
        <v>0</v>
      </c>
    </row>
    <row r="13">
      <c r="A13" s="12" t="inlineStr">
        <is>
          <t>Total Assets</t>
        </is>
      </c>
      <c r="B13" s="13" t="n">
        <v>6650000</v>
      </c>
    </row>
    <row r="14">
      <c r="A14" s="9" t="inlineStr">
        <is>
          <t>B. LIABILITIES</t>
        </is>
      </c>
    </row>
    <row r="15">
      <c r="A15" s="10" t="inlineStr">
        <is>
          <t>Total Liabilities</t>
        </is>
      </c>
      <c r="B15" s="11" t="n">
        <v>600000</v>
      </c>
    </row>
    <row r="16">
      <c r="A16" s="12" t="inlineStr">
        <is>
          <t>NET WORTH (A - B)</t>
        </is>
      </c>
      <c r="B16" s="13" t="n">
        <v>6050000</v>
      </c>
    </row>
    <row r="17">
      <c r="A17" s="9" t="inlineStr">
        <is>
          <t>GUARANTOR</t>
        </is>
      </c>
    </row>
    <row r="18">
      <c r="A18" s="10" t="inlineStr">
        <is>
          <t xml:space="preserve">  Sujata Deshmukh (Spouse)</t>
        </is>
      </c>
      <c r="B18" s="11" t="n">
        <v>2500000</v>
      </c>
    </row>
  </sheetData>
  <mergeCells count="4">
    <mergeCell ref="A4:B4"/>
    <mergeCell ref="A14:B14"/>
    <mergeCell ref="A1:B1"/>
    <mergeCell ref="A17:B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</cols>
  <sheetData>
    <row r="1" ht="22" customHeight="1">
      <c r="A1" s="1" t="inlineStr">
        <is>
          <t>CA Observations &amp; Recommendation</t>
        </is>
      </c>
    </row>
    <row r="2">
      <c r="A2" s="5" t="inlineStr">
        <is>
          <t>Particulars</t>
        </is>
      </c>
      <c r="B2" s="6" t="inlineStr">
        <is>
          <t>Value</t>
        </is>
      </c>
      <c r="C2" s="6" t="inlineStr">
        <is>
          <t>Benchmark</t>
        </is>
      </c>
      <c r="D2" s="6" t="inlineStr">
        <is>
          <t>Assessment</t>
        </is>
      </c>
    </row>
    <row r="3">
      <c r="A3" s="7" t="inlineStr"/>
      <c r="B3" s="8" t="inlineStr"/>
      <c r="C3" s="8" t="inlineStr"/>
      <c r="D3" s="8" t="inlineStr"/>
    </row>
    <row r="4">
      <c r="A4" s="10" t="inlineStr">
        <is>
          <t>Average DSCR</t>
        </is>
      </c>
      <c r="B4" s="14" t="inlineStr">
        <is>
          <t>7.87</t>
        </is>
      </c>
      <c r="C4" s="14" t="inlineStr">
        <is>
          <t>&gt;= 1.50 (min 1.25)</t>
        </is>
      </c>
      <c r="D4" s="14" t="inlineStr">
        <is>
          <t>Good</t>
        </is>
      </c>
    </row>
    <row r="5">
      <c r="A5" s="10" t="inlineStr">
        <is>
          <t>Minimum DSCR (weakest year)</t>
        </is>
      </c>
      <c r="B5" s="14" t="inlineStr">
        <is>
          <t>6.03 (Yr 2)</t>
        </is>
      </c>
      <c r="C5" s="14" t="inlineStr">
        <is>
          <t>&gt;= 1.20 (min 1.00)</t>
        </is>
      </c>
      <c r="D5" s="14" t="inlineStr">
        <is>
          <t>Good</t>
        </is>
      </c>
    </row>
    <row r="6">
      <c r="A6" s="10" t="inlineStr">
        <is>
          <t>Debt-Equity Ratio</t>
        </is>
      </c>
      <c r="B6" s="14" t="inlineStr">
        <is>
          <t>0.68:1</t>
        </is>
      </c>
      <c r="C6" s="14" t="inlineStr">
        <is>
          <t>&lt;= 2.0 (max 3.0)</t>
        </is>
      </c>
      <c r="D6" s="14" t="inlineStr">
        <is>
          <t>Good</t>
        </is>
      </c>
    </row>
    <row r="7">
      <c r="A7" s="10" t="inlineStr">
        <is>
          <t>Promoter Contribution</t>
        </is>
      </c>
      <c r="B7" s="14" t="inlineStr">
        <is>
          <t>42.1%</t>
        </is>
      </c>
      <c r="C7" s="14" t="inlineStr">
        <is>
          <t>&gt;= 15% (min 10%)</t>
        </is>
      </c>
      <c r="D7" s="14" t="inlineStr">
        <is>
          <t>Good</t>
        </is>
      </c>
    </row>
    <row r="8">
      <c r="A8" s="10" t="inlineStr">
        <is>
          <t>Current Ratio (Yr 1)</t>
        </is>
      </c>
      <c r="B8" s="14" t="inlineStr">
        <is>
          <t>3.74</t>
        </is>
      </c>
      <c r="C8" s="14" t="inlineStr">
        <is>
          <t>&gt;= 1.33</t>
        </is>
      </c>
      <c r="D8" s="14" t="inlineStr">
        <is>
          <t>Good</t>
        </is>
      </c>
    </row>
    <row r="9">
      <c r="A9" s="10" t="inlineStr">
        <is>
          <t>Interest Coverage (Yr 1)</t>
        </is>
      </c>
      <c r="B9" s="14" t="inlineStr">
        <is>
          <t>12.54</t>
        </is>
      </c>
      <c r="C9" s="14" t="inlineStr">
        <is>
          <t>&gt;= 2.0</t>
        </is>
      </c>
      <c r="D9" s="14" t="inlineStr">
        <is>
          <t>Good</t>
        </is>
      </c>
    </row>
    <row r="10">
      <c r="A10" s="10" t="inlineStr">
        <is>
          <t>TOL / TNW (Yr 1)</t>
        </is>
      </c>
      <c r="B10" s="14" t="inlineStr">
        <is>
          <t>0.84</t>
        </is>
      </c>
      <c r="C10" s="14" t="inlineStr">
        <is>
          <t>&lt;= 3.0</t>
        </is>
      </c>
      <c r="D10" s="14" t="inlineStr">
        <is>
          <t>Good</t>
        </is>
      </c>
    </row>
    <row r="11">
      <c r="A11" s="10" t="inlineStr">
        <is>
          <t>Total Debt / EBITDA (Yr 1)</t>
        </is>
      </c>
      <c r="B11" s="14" t="inlineStr">
        <is>
          <t>0.72x</t>
        </is>
      </c>
      <c r="C11" s="14" t="inlineStr">
        <is>
          <t>&lt;= 3.5x (max 4.5x)</t>
        </is>
      </c>
      <c r="D11" s="14" t="inlineStr">
        <is>
          <t>Good</t>
        </is>
      </c>
    </row>
    <row r="12">
      <c r="A12" s="10" t="inlineStr">
        <is>
          <t>WC Limit vs MPBF</t>
        </is>
      </c>
      <c r="B12" s="14" t="inlineStr">
        <is>
          <t>Sought 700,000</t>
        </is>
      </c>
      <c r="C12" s="14" t="inlineStr">
        <is>
          <t>&lt;= MPBF 1,137,830</t>
        </is>
      </c>
      <c r="D12" s="14" t="inlineStr">
        <is>
          <t>Good</t>
        </is>
      </c>
    </row>
    <row r="13">
      <c r="A13" s="10" t="inlineStr">
        <is>
          <t>Break-even (Yr 1)</t>
        </is>
      </c>
      <c r="B13" s="14" t="inlineStr">
        <is>
          <t>35.6% of sales</t>
        </is>
      </c>
      <c r="C13" s="14" t="inlineStr">
        <is>
          <t>&lt;= 70% comfortable</t>
        </is>
      </c>
      <c r="D13" s="14" t="inlineStr">
        <is>
          <t>Good</t>
        </is>
      </c>
    </row>
    <row r="14">
      <c r="A14" s="10" t="inlineStr">
        <is>
          <t>Net Profit (PAT) Trend</t>
        </is>
      </c>
      <c r="B14" s="14" t="inlineStr">
        <is>
          <t>Yr1 2,367,138 -&gt; Yr5 3,984,611</t>
        </is>
      </c>
      <c r="C14" s="14" t="inlineStr">
        <is>
          <t>Positive &amp; rising</t>
        </is>
      </c>
      <c r="D14" s="14" t="inlineStr">
        <is>
          <t>Good</t>
        </is>
      </c>
    </row>
    <row r="15">
      <c r="A15" s="10" t="inlineStr">
        <is>
          <t>Stress DSCR (Sales -10%)</t>
        </is>
      </c>
      <c r="B15" s="14" t="inlineStr">
        <is>
          <t>5.19 (min yr)</t>
        </is>
      </c>
      <c r="C15" s="14" t="inlineStr">
        <is>
          <t>&gt;= 1.0</t>
        </is>
      </c>
      <c r="D15" s="14" t="inlineStr">
        <is>
          <t>Good</t>
        </is>
      </c>
    </row>
    <row r="16">
      <c r="A16" s="10" t="inlineStr">
        <is>
          <t>Balance Sheet Tally</t>
        </is>
      </c>
      <c r="B16" s="14" t="inlineStr">
        <is>
          <t>max diff 0</t>
        </is>
      </c>
      <c r="C16" s="14">
        <f> 0</f>
        <v/>
      </c>
      <c r="D16" s="14" t="inlineStr">
        <is>
          <t>Good</t>
        </is>
      </c>
    </row>
    <row r="17">
      <c r="A17" s="12" t="inlineStr">
        <is>
          <t>OVERALL RECOMMENDATION (system)</t>
        </is>
      </c>
      <c r="B17" s="15" t="inlineStr">
        <is>
          <t>RECOMMEND - financials meet banking benchmarks.</t>
        </is>
      </c>
      <c r="C17" s="15" t="inlineStr"/>
      <c r="D17" s="15" t="inlineStr"/>
    </row>
    <row r="18">
      <c r="A18" s="10" t="inlineStr">
        <is>
          <t>Analyst's Recommendation</t>
        </is>
      </c>
      <c r="B18" s="14" t="inlineStr">
        <is>
          <t>Recommend</t>
        </is>
      </c>
      <c r="C18" s="14" t="inlineStr">
        <is>
          <t>GREEN</t>
        </is>
      </c>
      <c r="D18" s="14" t="inlineStr">
        <is>
          <t>See Credit Appraisal Note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2" customHeight="1">
      <c r="A1" s="1" t="inlineStr">
        <is>
          <t>Credit Appraisal Note</t>
        </is>
      </c>
    </row>
    <row r="2">
      <c r="A2" s="2" t="inlineStr">
        <is>
          <t>Field</t>
        </is>
      </c>
      <c r="B2" s="2" t="inlineStr">
        <is>
          <t>Details</t>
        </is>
      </c>
    </row>
    <row r="3">
      <c r="A3" s="3" t="inlineStr">
        <is>
          <t>Recommendation</t>
        </is>
      </c>
      <c r="B3" s="4" t="inlineStr">
        <is>
          <t>Recommend  (GREEN)</t>
        </is>
      </c>
    </row>
    <row r="4">
      <c r="A4" s="3" t="inlineStr">
        <is>
          <t>Strengths</t>
        </is>
      </c>
      <c r="B4" s="4" t="inlineStr">
        <is>
          <t>Promoter brings 42% equity; 45% gross margin; DSCR above 1.5x; collateral cover 3.5x.</t>
        </is>
      </c>
    </row>
    <row r="5">
      <c r="A5" s="3" t="inlineStr">
        <is>
          <t>Risk Factors / Weaknesses</t>
        </is>
      </c>
      <c r="B5" s="4" t="inlineStr">
        <is>
          <t>First-generation entrepreneur; auto-sector demand cyclicality.</t>
        </is>
      </c>
    </row>
    <row r="6">
      <c r="A6" s="3" t="inlineStr">
        <is>
          <t>Risk Mitigants</t>
        </is>
      </c>
      <c r="B6" s="4" t="inlineStr">
        <is>
          <t>CGTMSE 75% guarantee; collateral FSV 1.57x; insurance assigned to bank.</t>
        </is>
      </c>
    </row>
    <row r="7">
      <c r="A7" s="3" t="inlineStr">
        <is>
          <t>Covenant 1</t>
        </is>
      </c>
      <c r="B7" s="4" t="inlineStr">
        <is>
          <t>Hypothecation to be perfected before first disbursement</t>
        </is>
      </c>
    </row>
    <row r="8">
      <c r="A8" s="3" t="inlineStr">
        <is>
          <t>Covenant 2</t>
        </is>
      </c>
      <c r="B8" s="4" t="inlineStr">
        <is>
          <t>Promoter to maintain min 40% stake</t>
        </is>
      </c>
    </row>
    <row r="9">
      <c r="A9" s="3" t="inlineStr">
        <is>
          <t>Covenant 3</t>
        </is>
      </c>
      <c r="B9" s="4" t="inlineStr">
        <is>
          <t>Quarterly stock &amp; book-debt statements</t>
        </is>
      </c>
    </row>
    <row r="10">
      <c r="A10" s="3" t="inlineStr">
        <is>
          <t>Covenant 4</t>
        </is>
      </c>
      <c r="B10" s="4" t="inlineStr">
        <is>
          <t>Insurance kept current with bank as loss-payee</t>
        </is>
      </c>
    </row>
    <row r="11">
      <c r="A11" s="3" t="inlineStr">
        <is>
          <t>Remarks / Conditions</t>
        </is>
      </c>
      <c r="B11" s="4" t="inlineStr">
        <is>
          <t>Well-margined proposal; recommended for sanction with standard covenants.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Operating Statement (Form II)</t>
        </is>
      </c>
    </row>
    <row r="2">
      <c r="A2" s="5" t="inlineStr">
        <is>
          <t>Particulars</t>
        </is>
      </c>
      <c r="B2" s="6" t="inlineStr">
        <is>
          <t>2025-2026</t>
        </is>
      </c>
      <c r="C2" s="6" t="inlineStr">
        <is>
          <t>2026-2027</t>
        </is>
      </c>
      <c r="D2" s="6" t="inlineStr">
        <is>
          <t>2027-2028</t>
        </is>
      </c>
      <c r="E2" s="6" t="inlineStr">
        <is>
          <t>2028-2029</t>
        </is>
      </c>
      <c r="F2" s="6" t="inlineStr">
        <is>
          <t>2029-2030</t>
        </is>
      </c>
    </row>
    <row r="3">
      <c r="A3" s="7" t="inlineStr"/>
      <c r="B3" s="8" t="inlineStr">
        <is>
          <t>(provisional)</t>
        </is>
      </c>
      <c r="C3" s="8" t="inlineStr">
        <is>
          <t>(estimated)</t>
        </is>
      </c>
      <c r="D3" s="8" t="inlineStr">
        <is>
          <t>(projected)</t>
        </is>
      </c>
      <c r="E3" s="8" t="inlineStr">
        <is>
          <t>(projected)</t>
        </is>
      </c>
      <c r="F3" s="8" t="inlineStr">
        <is>
          <t>(projected)</t>
        </is>
      </c>
    </row>
    <row r="4">
      <c r="A4" s="12" t="inlineStr">
        <is>
          <t>1. Gross Sales / Sales &amp; Services</t>
        </is>
      </c>
      <c r="B4" s="13" t="n">
        <v>12000000</v>
      </c>
      <c r="C4" s="13" t="n">
        <v>13200000</v>
      </c>
      <c r="D4" s="13" t="n">
        <v>14520000</v>
      </c>
      <c r="E4" s="13" t="n">
        <v>15972000</v>
      </c>
      <c r="F4" s="13" t="n">
        <v>17569200</v>
      </c>
    </row>
    <row r="5">
      <c r="A5" s="10" t="inlineStr">
        <is>
          <t xml:space="preserve">   i. Domestic Sales</t>
        </is>
      </c>
      <c r="B5" s="11" t="n">
        <v>10200000</v>
      </c>
      <c r="C5" s="11" t="n">
        <v>11220000</v>
      </c>
      <c r="D5" s="11" t="n">
        <v>12342000</v>
      </c>
      <c r="E5" s="11" t="n">
        <v>13576200</v>
      </c>
      <c r="F5" s="11" t="n">
        <v>14933820</v>
      </c>
    </row>
    <row r="6">
      <c r="A6" s="10" t="inlineStr">
        <is>
          <t xml:space="preserve">   ii. Export Sales</t>
        </is>
      </c>
      <c r="B6" s="11" t="n">
        <v>1800000</v>
      </c>
      <c r="C6" s="11" t="n">
        <v>1980000</v>
      </c>
      <c r="D6" s="11" t="n">
        <v>2178000</v>
      </c>
      <c r="E6" s="11" t="n">
        <v>2395800</v>
      </c>
      <c r="F6" s="11" t="n">
        <v>2635380</v>
      </c>
    </row>
    <row r="7">
      <c r="A7" s="12" t="inlineStr">
        <is>
          <t>2. Net Sales</t>
        </is>
      </c>
      <c r="B7" s="13" t="n">
        <v>12000000</v>
      </c>
      <c r="C7" s="13" t="n">
        <v>13200000</v>
      </c>
      <c r="D7" s="13" t="n">
        <v>14520000</v>
      </c>
      <c r="E7" s="13" t="n">
        <v>15972000</v>
      </c>
      <c r="F7" s="13" t="n">
        <v>17569200</v>
      </c>
    </row>
    <row r="8">
      <c r="A8" s="9" t="inlineStr">
        <is>
          <t>3. COST OF SALES</t>
        </is>
      </c>
    </row>
    <row r="9">
      <c r="A9" s="10" t="inlineStr">
        <is>
          <t xml:space="preserve">   Raw Material / Consumables</t>
        </is>
      </c>
      <c r="B9" s="11" t="n">
        <v>6600000</v>
      </c>
      <c r="C9" s="11" t="n">
        <v>7260000</v>
      </c>
      <c r="D9" s="11" t="n">
        <v>7986000</v>
      </c>
      <c r="E9" s="11" t="n">
        <v>8784600</v>
      </c>
      <c r="F9" s="11" t="n">
        <v>9663060</v>
      </c>
    </row>
    <row r="10">
      <c r="A10" s="10" t="inlineStr">
        <is>
          <t xml:space="preserve">   Depreciation</t>
        </is>
      </c>
      <c r="B10" s="11" t="n">
        <v>197000</v>
      </c>
      <c r="C10" s="11" t="n">
        <v>175000</v>
      </c>
      <c r="D10" s="11" t="n">
        <v>156995</v>
      </c>
      <c r="E10" s="11" t="n">
        <v>141823.75</v>
      </c>
      <c r="F10" s="11" t="n">
        <v>128748.01</v>
      </c>
    </row>
    <row r="11">
      <c r="A11" s="12" t="inlineStr">
        <is>
          <t xml:space="preserve">   Cost of Production / Sales</t>
        </is>
      </c>
      <c r="B11" s="13" t="n">
        <v>6797000</v>
      </c>
      <c r="C11" s="13" t="n">
        <v>7435000</v>
      </c>
      <c r="D11" s="13" t="n">
        <v>8142995</v>
      </c>
      <c r="E11" s="13" t="n">
        <v>8926423.75</v>
      </c>
      <c r="F11" s="13" t="n">
        <v>9791808.01</v>
      </c>
    </row>
    <row r="12">
      <c r="A12" s="10" t="inlineStr">
        <is>
          <t>4. Selling, General &amp; Admin Expenses</t>
        </is>
      </c>
      <c r="B12" s="11" t="n">
        <v>1756350</v>
      </c>
      <c r="C12" s="11" t="n">
        <v>1880169.23</v>
      </c>
      <c r="D12" s="11" t="n">
        <v>2011275.69</v>
      </c>
      <c r="E12" s="11" t="n">
        <v>2152576.99</v>
      </c>
      <c r="F12" s="11" t="n">
        <v>2304856.6</v>
      </c>
    </row>
    <row r="13">
      <c r="A13" s="10" t="inlineStr">
        <is>
          <t xml:space="preserve">   incl. CGTMSE Guarantee Fee</t>
        </is>
      </c>
      <c r="B13" s="11" t="n">
        <v>28350</v>
      </c>
      <c r="C13" s="11" t="n">
        <v>26169.23</v>
      </c>
      <c r="D13" s="11" t="n">
        <v>21807.69</v>
      </c>
      <c r="E13" s="11" t="n">
        <v>17446.15</v>
      </c>
      <c r="F13" s="11" t="n">
        <v>13084.62</v>
      </c>
    </row>
    <row r="14">
      <c r="A14" s="12" t="inlineStr">
        <is>
          <t>5. Total Cost of Sales (3+4)</t>
        </is>
      </c>
      <c r="B14" s="13" t="n">
        <v>8553350</v>
      </c>
      <c r="C14" s="13" t="n">
        <v>9315169.23</v>
      </c>
      <c r="D14" s="13" t="n">
        <v>10154270.69</v>
      </c>
      <c r="E14" s="13" t="n">
        <v>11079000.74</v>
      </c>
      <c r="F14" s="13" t="n">
        <v>12096664.61</v>
      </c>
    </row>
    <row r="15">
      <c r="A15" s="12" t="inlineStr">
        <is>
          <t>6. Operating Profit before Interest</t>
        </is>
      </c>
      <c r="B15" s="13" t="n">
        <v>3446650</v>
      </c>
      <c r="C15" s="13" t="n">
        <v>3884830.77</v>
      </c>
      <c r="D15" s="13" t="n">
        <v>4365729.31</v>
      </c>
      <c r="E15" s="13" t="n">
        <v>4892999.26</v>
      </c>
      <c r="F15" s="13" t="n">
        <v>5472535.390000001</v>
      </c>
    </row>
    <row r="16">
      <c r="A16" s="10" t="inlineStr">
        <is>
          <t>7. Interest on Working Capital</t>
        </is>
      </c>
      <c r="B16" s="11" t="n">
        <v>73500</v>
      </c>
      <c r="C16" s="11" t="n">
        <v>73500</v>
      </c>
      <c r="D16" s="11" t="n">
        <v>73500</v>
      </c>
      <c r="E16" s="11" t="n">
        <v>73500</v>
      </c>
      <c r="F16" s="11" t="n">
        <v>73500</v>
      </c>
    </row>
    <row r="17">
      <c r="A17" s="10" t="inlineStr">
        <is>
          <t xml:space="preserve">   Interest on Term Loan</t>
        </is>
      </c>
      <c r="B17" s="11" t="n">
        <v>216966.35</v>
      </c>
      <c r="C17" s="11" t="n">
        <v>187990.38</v>
      </c>
      <c r="D17" s="11" t="n">
        <v>154067.31</v>
      </c>
      <c r="E17" s="11" t="n">
        <v>120144.23</v>
      </c>
      <c r="F17" s="11" t="n">
        <v>86221.14999999999</v>
      </c>
    </row>
    <row r="18">
      <c r="A18" s="12" t="inlineStr">
        <is>
          <t>8. Operating Profit after Interest (PBT)</t>
        </is>
      </c>
      <c r="B18" s="13" t="n">
        <v>3156183.65</v>
      </c>
      <c r="C18" s="13" t="n">
        <v>3623340.39</v>
      </c>
      <c r="D18" s="13" t="n">
        <v>4138162</v>
      </c>
      <c r="E18" s="13" t="n">
        <v>4699355.03</v>
      </c>
      <c r="F18" s="13" t="n">
        <v>5312814.24</v>
      </c>
    </row>
    <row r="19">
      <c r="A19" s="10" t="inlineStr">
        <is>
          <t>9. Provision for Tax</t>
        </is>
      </c>
      <c r="B19" s="11" t="n">
        <v>789045.91</v>
      </c>
      <c r="C19" s="11" t="n">
        <v>905835.1</v>
      </c>
      <c r="D19" s="11" t="n">
        <v>1034540.5</v>
      </c>
      <c r="E19" s="11" t="n">
        <v>1174838.76</v>
      </c>
      <c r="F19" s="11" t="n">
        <v>1328203.56</v>
      </c>
    </row>
    <row r="20">
      <c r="A20" s="12" t="inlineStr">
        <is>
          <t>10. NET PROFIT AFTER TAX</t>
        </is>
      </c>
      <c r="B20" s="13" t="n">
        <v>2367137.74</v>
      </c>
      <c r="C20" s="13" t="n">
        <v>2717505.29</v>
      </c>
      <c r="D20" s="13" t="n">
        <v>3103621.5</v>
      </c>
      <c r="E20" s="13" t="n">
        <v>3524516.27</v>
      </c>
      <c r="F20" s="13" t="n">
        <v>3984610.68</v>
      </c>
    </row>
    <row r="21">
      <c r="A21" s="10" t="inlineStr">
        <is>
          <t>11. Retained Profit</t>
        </is>
      </c>
      <c r="B21" s="11" t="n">
        <v>2367137.74</v>
      </c>
      <c r="C21" s="11" t="n">
        <v>2717505.29</v>
      </c>
      <c r="D21" s="11" t="n">
        <v>3103621.5</v>
      </c>
      <c r="E21" s="11" t="n">
        <v>3524516.27</v>
      </c>
      <c r="F21" s="11" t="n">
        <v>3984610.68</v>
      </c>
    </row>
    <row r="22">
      <c r="A22" s="10" t="inlineStr">
        <is>
          <t>NP Ratio (%)</t>
        </is>
      </c>
      <c r="B22" s="14" t="n">
        <v>19.73</v>
      </c>
      <c r="C22" s="14" t="n">
        <v>20.59</v>
      </c>
      <c r="D22" s="14" t="n">
        <v>21.37</v>
      </c>
      <c r="E22" s="14" t="n">
        <v>22.07</v>
      </c>
      <c r="F22" s="14" t="n">
        <v>22.68</v>
      </c>
    </row>
  </sheetData>
  <mergeCells count="2">
    <mergeCell ref="A8:F8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Balance Sheet (Form III)</t>
        </is>
      </c>
    </row>
    <row r="2">
      <c r="A2" s="5" t="inlineStr">
        <is>
          <t>Particulars</t>
        </is>
      </c>
      <c r="B2" s="6" t="inlineStr">
        <is>
          <t>2025-2026</t>
        </is>
      </c>
      <c r="C2" s="6" t="inlineStr">
        <is>
          <t>2026-2027</t>
        </is>
      </c>
      <c r="D2" s="6" t="inlineStr">
        <is>
          <t>2027-2028</t>
        </is>
      </c>
      <c r="E2" s="6" t="inlineStr">
        <is>
          <t>2028-2029</t>
        </is>
      </c>
      <c r="F2" s="6" t="inlineStr">
        <is>
          <t>2029-2030</t>
        </is>
      </c>
    </row>
    <row r="3">
      <c r="A3" s="7" t="inlineStr"/>
      <c r="B3" s="8" t="inlineStr">
        <is>
          <t>(provisional)</t>
        </is>
      </c>
      <c r="C3" s="8" t="inlineStr">
        <is>
          <t>(estimated)</t>
        </is>
      </c>
      <c r="D3" s="8" t="inlineStr">
        <is>
          <t>(projected)</t>
        </is>
      </c>
      <c r="E3" s="8" t="inlineStr">
        <is>
          <t>(projected)</t>
        </is>
      </c>
      <c r="F3" s="8" t="inlineStr">
        <is>
          <t>(projected)</t>
        </is>
      </c>
    </row>
    <row r="4">
      <c r="A4" s="9" t="inlineStr">
        <is>
          <t>CURRENT LIABILITIES</t>
        </is>
      </c>
    </row>
    <row r="5">
      <c r="A5" s="10" t="inlineStr">
        <is>
          <t xml:space="preserve">  Working Capital Bank Borrowing</t>
        </is>
      </c>
      <c r="B5" s="11" t="n">
        <v>700000</v>
      </c>
      <c r="C5" s="11" t="n">
        <v>700000</v>
      </c>
      <c r="D5" s="11" t="n">
        <v>700000</v>
      </c>
      <c r="E5" s="11" t="n">
        <v>700000</v>
      </c>
      <c r="F5" s="11" t="n">
        <v>700000</v>
      </c>
    </row>
    <row r="6">
      <c r="A6" s="10" t="inlineStr">
        <is>
          <t xml:space="preserve">  Sundry Creditors (Trade)</t>
        </is>
      </c>
      <c r="B6" s="11" t="n">
        <v>542465.75</v>
      </c>
      <c r="C6" s="11" t="n">
        <v>596712.33</v>
      </c>
      <c r="D6" s="11" t="n">
        <v>656383.5600000001</v>
      </c>
      <c r="E6" s="11" t="n">
        <v>722021.92</v>
      </c>
      <c r="F6" s="11" t="n">
        <v>794224.11</v>
      </c>
    </row>
    <row r="7">
      <c r="A7" s="12" t="inlineStr">
        <is>
          <t xml:space="preserve">  TOTAL CURRENT LIABILITIES</t>
        </is>
      </c>
      <c r="B7" s="13" t="n">
        <v>1242465.75</v>
      </c>
      <c r="C7" s="13" t="n">
        <v>1296712.33</v>
      </c>
      <c r="D7" s="13" t="n">
        <v>1356383.56</v>
      </c>
      <c r="E7" s="13" t="n">
        <v>1422021.92</v>
      </c>
      <c r="F7" s="13" t="n">
        <v>1494224.11</v>
      </c>
    </row>
    <row r="8">
      <c r="A8" s="9" t="inlineStr">
        <is>
          <t>TERM LIABILITIES</t>
        </is>
      </c>
    </row>
    <row r="9">
      <c r="A9" s="10" t="inlineStr">
        <is>
          <t xml:space="preserve">  Term Loan</t>
        </is>
      </c>
      <c r="B9" s="11" t="n">
        <v>1938461.54</v>
      </c>
      <c r="C9" s="11" t="n">
        <v>1615384.62</v>
      </c>
      <c r="D9" s="11" t="n">
        <v>1292307.69</v>
      </c>
      <c r="E9" s="11" t="n">
        <v>969230.77</v>
      </c>
      <c r="F9" s="11" t="n">
        <v>646153.85</v>
      </c>
    </row>
    <row r="10">
      <c r="A10" s="12" t="inlineStr">
        <is>
          <t xml:space="preserve">  TOTAL TERM LIABILITIES</t>
        </is>
      </c>
      <c r="B10" s="13" t="n">
        <v>1938461.54</v>
      </c>
      <c r="C10" s="13" t="n">
        <v>1615384.62</v>
      </c>
      <c r="D10" s="13" t="n">
        <v>1292307.69</v>
      </c>
      <c r="E10" s="13" t="n">
        <v>969230.77</v>
      </c>
      <c r="F10" s="13" t="n">
        <v>646153.85</v>
      </c>
    </row>
    <row r="11">
      <c r="A11" s="12" t="inlineStr">
        <is>
          <t>TOTAL OUTSIDE LIABILITIES</t>
        </is>
      </c>
      <c r="B11" s="13" t="n">
        <v>3180927.29</v>
      </c>
      <c r="C11" s="13" t="n">
        <v>2912096.95</v>
      </c>
      <c r="D11" s="13" t="n">
        <v>2648691.25</v>
      </c>
      <c r="E11" s="13" t="n">
        <v>2391252.69</v>
      </c>
      <c r="F11" s="13" t="n">
        <v>2140377.96</v>
      </c>
    </row>
    <row r="12">
      <c r="A12" s="9" t="inlineStr">
        <is>
          <t>NET WORTH</t>
        </is>
      </c>
    </row>
    <row r="13">
      <c r="A13" s="10" t="inlineStr">
        <is>
          <t xml:space="preserve">  Capital &amp; Reserves</t>
        </is>
      </c>
      <c r="B13" s="11" t="n">
        <v>3897137.74</v>
      </c>
      <c r="C13" s="11" t="n">
        <v>6614643.03</v>
      </c>
      <c r="D13" s="11" t="n">
        <v>9718264.529999999</v>
      </c>
      <c r="E13" s="11" t="n">
        <v>13242780.8</v>
      </c>
      <c r="F13" s="11" t="n">
        <v>17227391.48</v>
      </c>
    </row>
    <row r="14">
      <c r="A14" s="12" t="inlineStr">
        <is>
          <t xml:space="preserve">  NET WORTH</t>
        </is>
      </c>
      <c r="B14" s="13" t="n">
        <v>3897137.74</v>
      </c>
      <c r="C14" s="13" t="n">
        <v>6614643.03</v>
      </c>
      <c r="D14" s="13" t="n">
        <v>9718264.529999999</v>
      </c>
      <c r="E14" s="13" t="n">
        <v>13242780.8</v>
      </c>
      <c r="F14" s="13" t="n">
        <v>17227391.48</v>
      </c>
    </row>
    <row r="15">
      <c r="A15" s="12" t="inlineStr">
        <is>
          <t>TOTAL LIABILITIES</t>
        </is>
      </c>
      <c r="B15" s="13" t="n">
        <v>7078065.03</v>
      </c>
      <c r="C15" s="13" t="n">
        <v>9526739.98</v>
      </c>
      <c r="D15" s="13" t="n">
        <v>12366955.78</v>
      </c>
      <c r="E15" s="13" t="n">
        <v>15634033.49</v>
      </c>
      <c r="F15" s="13" t="n">
        <v>19367769.44</v>
      </c>
    </row>
    <row r="16">
      <c r="A16" s="9" t="inlineStr">
        <is>
          <t>CURRENT ASSETS</t>
        </is>
      </c>
    </row>
    <row r="17">
      <c r="A17" s="10" t="inlineStr">
        <is>
          <t xml:space="preserve">  Cash &amp; Bank Balance</t>
        </is>
      </c>
      <c r="B17" s="11" t="n">
        <v>2560339.01</v>
      </c>
      <c r="C17" s="11" t="n">
        <v>4980205.73</v>
      </c>
      <c r="D17" s="11" t="n">
        <v>7752947.84</v>
      </c>
      <c r="E17" s="11" t="n">
        <v>10914772.54</v>
      </c>
      <c r="F17" s="11" t="n">
        <v>14505393.36</v>
      </c>
    </row>
    <row r="18">
      <c r="A18" s="10" t="inlineStr">
        <is>
          <t xml:space="preserve">  Receivables (Debtors)</t>
        </is>
      </c>
      <c r="B18" s="11" t="n">
        <v>986301.37</v>
      </c>
      <c r="C18" s="11" t="n">
        <v>1084931.51</v>
      </c>
      <c r="D18" s="11" t="n">
        <v>1193424.66</v>
      </c>
      <c r="E18" s="11" t="n">
        <v>1312767.12</v>
      </c>
      <c r="F18" s="11" t="n">
        <v>1444043.84</v>
      </c>
    </row>
    <row r="19">
      <c r="A19" s="10" t="inlineStr">
        <is>
          <t xml:space="preserve">  Inventory - Raw Material</t>
        </is>
      </c>
      <c r="B19" s="11" t="n">
        <v>542465.75</v>
      </c>
      <c r="C19" s="11" t="n">
        <v>596712.33</v>
      </c>
      <c r="D19" s="11" t="n">
        <v>656383.5600000001</v>
      </c>
      <c r="E19" s="11" t="n">
        <v>722021.92</v>
      </c>
      <c r="F19" s="11" t="n">
        <v>794224.11</v>
      </c>
    </row>
    <row r="20">
      <c r="A20" s="10" t="inlineStr">
        <is>
          <t xml:space="preserve">  Inventory - Work in Progress</t>
        </is>
      </c>
      <c r="B20" s="11" t="n">
        <v>222383.56</v>
      </c>
      <c r="C20" s="11" t="n">
        <v>242756.16</v>
      </c>
      <c r="D20" s="11" t="n">
        <v>265277.89</v>
      </c>
      <c r="E20" s="11" t="n">
        <v>290116.26</v>
      </c>
      <c r="F20" s="11" t="n">
        <v>317469.96</v>
      </c>
    </row>
    <row r="21">
      <c r="A21" s="10" t="inlineStr">
        <is>
          <t xml:space="preserve">  Inventory - Finished Goods</t>
        </is>
      </c>
      <c r="B21" s="11" t="n">
        <v>333575.34</v>
      </c>
      <c r="C21" s="11" t="n">
        <v>364134.25</v>
      </c>
      <c r="D21" s="11" t="n">
        <v>397916.84</v>
      </c>
      <c r="E21" s="11" t="n">
        <v>435174.39</v>
      </c>
      <c r="F21" s="11" t="n">
        <v>476204.94</v>
      </c>
    </row>
    <row r="22">
      <c r="A22" s="12" t="inlineStr">
        <is>
          <t xml:space="preserve">  TOTAL CURRENT ASSETS</t>
        </is>
      </c>
      <c r="B22" s="13" t="n">
        <v>4645065.03</v>
      </c>
      <c r="C22" s="13" t="n">
        <v>7268739.98</v>
      </c>
      <c r="D22" s="13" t="n">
        <v>10265950.78</v>
      </c>
      <c r="E22" s="13" t="n">
        <v>13674852.24</v>
      </c>
      <c r="F22" s="13" t="n">
        <v>17537336.2</v>
      </c>
    </row>
    <row r="23">
      <c r="A23" s="9" t="inlineStr">
        <is>
          <t>FIXED ASSETS</t>
        </is>
      </c>
    </row>
    <row r="24">
      <c r="A24" s="10" t="inlineStr">
        <is>
          <t xml:space="preserve">  Gross Block</t>
        </is>
      </c>
      <c r="B24" s="11" t="n">
        <v>2350000</v>
      </c>
      <c r="C24" s="11" t="n">
        <v>2153000</v>
      </c>
      <c r="D24" s="11" t="n">
        <v>1978000</v>
      </c>
      <c r="E24" s="11" t="n">
        <v>1821005</v>
      </c>
      <c r="F24" s="11" t="n">
        <v>1679181.25</v>
      </c>
    </row>
    <row r="25">
      <c r="A25" s="10" t="inlineStr">
        <is>
          <t xml:space="preserve">  Less: Depreciation</t>
        </is>
      </c>
      <c r="B25" s="11" t="n">
        <v>197000</v>
      </c>
      <c r="C25" s="11" t="n">
        <v>175000</v>
      </c>
      <c r="D25" s="11" t="n">
        <v>156995</v>
      </c>
      <c r="E25" s="11" t="n">
        <v>141823.75</v>
      </c>
      <c r="F25" s="11" t="n">
        <v>128748.01</v>
      </c>
    </row>
    <row r="26">
      <c r="A26" s="12" t="inlineStr">
        <is>
          <t xml:space="preserve">  NET BLOCK</t>
        </is>
      </c>
      <c r="B26" s="13" t="n">
        <v>2303000</v>
      </c>
      <c r="C26" s="13" t="n">
        <v>2128000</v>
      </c>
      <c r="D26" s="13" t="n">
        <v>1971005</v>
      </c>
      <c r="E26" s="13" t="n">
        <v>1829181.25</v>
      </c>
      <c r="F26" s="13" t="n">
        <v>1700433.24</v>
      </c>
    </row>
    <row r="27">
      <c r="A27" s="10" t="inlineStr">
        <is>
          <t>OTHER / INTANGIBLE ASSETS</t>
        </is>
      </c>
      <c r="B27" s="11" t="n">
        <v>130000</v>
      </c>
      <c r="C27" s="11" t="n">
        <v>130000</v>
      </c>
      <c r="D27" s="11" t="n">
        <v>130000</v>
      </c>
      <c r="E27" s="11" t="n">
        <v>130000</v>
      </c>
      <c r="F27" s="11" t="n">
        <v>130000</v>
      </c>
    </row>
    <row r="28">
      <c r="A28" s="12" t="inlineStr">
        <is>
          <t>TOTAL ASSETS</t>
        </is>
      </c>
      <c r="B28" s="13" t="n">
        <v>7078065.03</v>
      </c>
      <c r="C28" s="13" t="n">
        <v>9526739.98</v>
      </c>
      <c r="D28" s="13" t="n">
        <v>12366955.78</v>
      </c>
      <c r="E28" s="13" t="n">
        <v>15634033.49</v>
      </c>
      <c r="F28" s="13" t="n">
        <v>19367769.44</v>
      </c>
    </row>
    <row r="29">
      <c r="A29" s="10" t="inlineStr">
        <is>
          <t>Tangible Net Worth</t>
        </is>
      </c>
      <c r="B29" s="11" t="n">
        <v>3767137.74</v>
      </c>
      <c r="C29" s="11" t="n">
        <v>6484643.03</v>
      </c>
      <c r="D29" s="11" t="n">
        <v>9588264.529999999</v>
      </c>
      <c r="E29" s="11" t="n">
        <v>13112780.8</v>
      </c>
      <c r="F29" s="11" t="n">
        <v>17097391.48</v>
      </c>
    </row>
    <row r="30">
      <c r="A30" s="10" t="inlineStr">
        <is>
          <t>Net Working Capital</t>
        </is>
      </c>
      <c r="B30" s="11" t="n">
        <v>3402599.28</v>
      </c>
      <c r="C30" s="11" t="n">
        <v>5972027.65</v>
      </c>
      <c r="D30" s="11" t="n">
        <v>8909567.219999999</v>
      </c>
      <c r="E30" s="11" t="n">
        <v>12252830.32</v>
      </c>
      <c r="F30" s="11" t="n">
        <v>16043112.09</v>
      </c>
    </row>
    <row r="31">
      <c r="A31" s="10" t="inlineStr">
        <is>
          <t>Current Ratio</t>
        </is>
      </c>
      <c r="B31" s="14" t="n">
        <v>3.74</v>
      </c>
      <c r="C31" s="14" t="n">
        <v>5.61</v>
      </c>
      <c r="D31" s="14" t="n">
        <v>7.57</v>
      </c>
      <c r="E31" s="14" t="n">
        <v>9.619999999999999</v>
      </c>
      <c r="F31" s="14" t="n">
        <v>11.74</v>
      </c>
    </row>
    <row r="32">
      <c r="A32" s="10" t="inlineStr">
        <is>
          <t>Difference [Assets - Liabilities]</t>
        </is>
      </c>
      <c r="B32" s="11" t="n">
        <v>0</v>
      </c>
      <c r="C32" s="11" t="n">
        <v>0</v>
      </c>
      <c r="D32" s="11" t="n">
        <v>0</v>
      </c>
      <c r="E32" s="11" t="n">
        <v>0</v>
      </c>
      <c r="F32" s="11" t="n">
        <v>-0</v>
      </c>
    </row>
  </sheetData>
  <mergeCells count="6">
    <mergeCell ref="A16:F16"/>
    <mergeCell ref="A1:F1"/>
    <mergeCell ref="A23:F23"/>
    <mergeCell ref="A8:F8"/>
    <mergeCell ref="A12:F12"/>
    <mergeCell ref="A4:F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Depreciation Chart (WDV Method)</t>
        </is>
      </c>
    </row>
    <row r="2">
      <c r="A2" s="5" t="inlineStr">
        <is>
          <t>Particulars</t>
        </is>
      </c>
      <c r="B2" s="6" t="inlineStr">
        <is>
          <t>2025-2026</t>
        </is>
      </c>
      <c r="C2" s="6" t="inlineStr">
        <is>
          <t>2026-2027</t>
        </is>
      </c>
      <c r="D2" s="6" t="inlineStr">
        <is>
          <t>2027-2028</t>
        </is>
      </c>
      <c r="E2" s="6" t="inlineStr">
        <is>
          <t>2028-2029</t>
        </is>
      </c>
      <c r="F2" s="6" t="inlineStr">
        <is>
          <t>2029-2030</t>
        </is>
      </c>
    </row>
    <row r="3">
      <c r="A3" s="7" t="inlineStr"/>
      <c r="B3" s="8" t="inlineStr">
        <is>
          <t>(provisional)</t>
        </is>
      </c>
      <c r="C3" s="8" t="inlineStr">
        <is>
          <t>(estimated)</t>
        </is>
      </c>
      <c r="D3" s="8" t="inlineStr">
        <is>
          <t>(projected)</t>
        </is>
      </c>
      <c r="E3" s="8" t="inlineStr">
        <is>
          <t>(projected)</t>
        </is>
      </c>
      <c r="F3" s="8" t="inlineStr">
        <is>
          <t>(projected)</t>
        </is>
      </c>
    </row>
    <row r="4">
      <c r="A4" s="12" t="inlineStr">
        <is>
          <t>Building  (5%)</t>
        </is>
      </c>
      <c r="B4" s="13" t="n">
        <v>1000000</v>
      </c>
      <c r="C4" s="13" t="n">
        <v>950000</v>
      </c>
      <c r="D4" s="13" t="n">
        <v>902500</v>
      </c>
      <c r="E4" s="13" t="n">
        <v>857375</v>
      </c>
      <c r="F4" s="13" t="n">
        <v>814506.25</v>
      </c>
    </row>
    <row r="5">
      <c r="A5" s="10" t="inlineStr">
        <is>
          <t xml:space="preserve">  Less: Depreciation</t>
        </is>
      </c>
      <c r="B5" s="11" t="n">
        <v>50000</v>
      </c>
      <c r="C5" s="11" t="n">
        <v>47500</v>
      </c>
      <c r="D5" s="11" t="n">
        <v>45125</v>
      </c>
      <c r="E5" s="11" t="n">
        <v>42868.75</v>
      </c>
      <c r="F5" s="11" t="n">
        <v>40725.31</v>
      </c>
    </row>
    <row r="6">
      <c r="A6" s="10" t="inlineStr">
        <is>
          <t xml:space="preserve">  Written Down Value</t>
        </is>
      </c>
      <c r="B6" s="11" t="n">
        <v>950000</v>
      </c>
      <c r="C6" s="11" t="n">
        <v>902500</v>
      </c>
      <c r="D6" s="11" t="n">
        <v>857375</v>
      </c>
      <c r="E6" s="11" t="n">
        <v>814506.25</v>
      </c>
      <c r="F6" s="11" t="n">
        <v>773780.9399999999</v>
      </c>
    </row>
    <row r="7">
      <c r="A7" s="12" t="inlineStr">
        <is>
          <t>Furniture &amp; Fixtures  (10%)</t>
        </is>
      </c>
      <c r="B7" s="13" t="n">
        <v>50000</v>
      </c>
      <c r="C7" s="13" t="n">
        <v>45000</v>
      </c>
      <c r="D7" s="13" t="n">
        <v>40500</v>
      </c>
      <c r="E7" s="13" t="n">
        <v>36450</v>
      </c>
      <c r="F7" s="13" t="n">
        <v>32805</v>
      </c>
    </row>
    <row r="8">
      <c r="A8" s="10" t="inlineStr">
        <is>
          <t xml:space="preserve">  Less: Depreciation</t>
        </is>
      </c>
      <c r="B8" s="11" t="n">
        <v>5000</v>
      </c>
      <c r="C8" s="11" t="n">
        <v>4500</v>
      </c>
      <c r="D8" s="11" t="n">
        <v>4050</v>
      </c>
      <c r="E8" s="11" t="n">
        <v>3645</v>
      </c>
      <c r="F8" s="11" t="n">
        <v>3280.5</v>
      </c>
    </row>
    <row r="9">
      <c r="A9" s="10" t="inlineStr">
        <is>
          <t xml:space="preserve">  Written Down Value</t>
        </is>
      </c>
      <c r="B9" s="11" t="n">
        <v>45000</v>
      </c>
      <c r="C9" s="11" t="n">
        <v>40500</v>
      </c>
      <c r="D9" s="11" t="n">
        <v>36450</v>
      </c>
      <c r="E9" s="11" t="n">
        <v>32805</v>
      </c>
      <c r="F9" s="11" t="n">
        <v>29524.5</v>
      </c>
    </row>
    <row r="10">
      <c r="A10" s="12" t="inlineStr">
        <is>
          <t>Plant &amp; Machinery  (10%)</t>
        </is>
      </c>
      <c r="B10" s="13" t="n">
        <v>1200000</v>
      </c>
      <c r="C10" s="13" t="n">
        <v>1080000</v>
      </c>
      <c r="D10" s="13" t="n">
        <v>972000</v>
      </c>
      <c r="E10" s="13" t="n">
        <v>874800</v>
      </c>
      <c r="F10" s="13" t="n">
        <v>787320</v>
      </c>
    </row>
    <row r="11">
      <c r="A11" s="10" t="inlineStr">
        <is>
          <t xml:space="preserve">  Less: Depreciation</t>
        </is>
      </c>
      <c r="B11" s="11" t="n">
        <v>120000</v>
      </c>
      <c r="C11" s="11" t="n">
        <v>108000</v>
      </c>
      <c r="D11" s="11" t="n">
        <v>97200</v>
      </c>
      <c r="E11" s="11" t="n">
        <v>87480</v>
      </c>
      <c r="F11" s="11" t="n">
        <v>78732</v>
      </c>
    </row>
    <row r="12">
      <c r="A12" s="10" t="inlineStr">
        <is>
          <t xml:space="preserve">  Written Down Value</t>
        </is>
      </c>
      <c r="B12" s="11" t="n">
        <v>1080000</v>
      </c>
      <c r="C12" s="11" t="n">
        <v>972000</v>
      </c>
      <c r="D12" s="11" t="n">
        <v>874800</v>
      </c>
      <c r="E12" s="11" t="n">
        <v>787320</v>
      </c>
      <c r="F12" s="11" t="n">
        <v>708588</v>
      </c>
    </row>
    <row r="13">
      <c r="A13" s="12" t="inlineStr">
        <is>
          <t>Computers  (40%)</t>
        </is>
      </c>
      <c r="B13" s="13" t="n">
        <v>40000</v>
      </c>
      <c r="C13" s="13" t="n">
        <v>24000</v>
      </c>
      <c r="D13" s="13" t="n">
        <v>14400</v>
      </c>
      <c r="E13" s="13" t="n">
        <v>8640</v>
      </c>
      <c r="F13" s="13" t="n">
        <v>5184</v>
      </c>
    </row>
    <row r="14">
      <c r="A14" s="10" t="inlineStr">
        <is>
          <t xml:space="preserve">  Less: Depreciation</t>
        </is>
      </c>
      <c r="B14" s="11" t="n">
        <v>16000</v>
      </c>
      <c r="C14" s="11" t="n">
        <v>9600</v>
      </c>
      <c r="D14" s="11" t="n">
        <v>5760</v>
      </c>
      <c r="E14" s="11" t="n">
        <v>3456</v>
      </c>
      <c r="F14" s="11" t="n">
        <v>2073.6</v>
      </c>
    </row>
    <row r="15">
      <c r="A15" s="10" t="inlineStr">
        <is>
          <t xml:space="preserve">  Written Down Value</t>
        </is>
      </c>
      <c r="B15" s="11" t="n">
        <v>24000</v>
      </c>
      <c r="C15" s="11" t="n">
        <v>14400</v>
      </c>
      <c r="D15" s="11" t="n">
        <v>8640</v>
      </c>
      <c r="E15" s="11" t="n">
        <v>5184</v>
      </c>
      <c r="F15" s="11" t="n">
        <v>3110.4</v>
      </c>
    </row>
    <row r="16">
      <c r="A16" s="12" t="inlineStr">
        <is>
          <t>Office Equipment  (10%)</t>
        </is>
      </c>
      <c r="B16" s="13" t="n">
        <v>60000</v>
      </c>
      <c r="C16" s="13" t="n">
        <v>54000</v>
      </c>
      <c r="D16" s="13" t="n">
        <v>48600</v>
      </c>
      <c r="E16" s="13" t="n">
        <v>43740</v>
      </c>
      <c r="F16" s="13" t="n">
        <v>39366</v>
      </c>
    </row>
    <row r="17">
      <c r="A17" s="10" t="inlineStr">
        <is>
          <t xml:space="preserve">  Less: Depreciation</t>
        </is>
      </c>
      <c r="B17" s="11" t="n">
        <v>6000</v>
      </c>
      <c r="C17" s="11" t="n">
        <v>5400</v>
      </c>
      <c r="D17" s="11" t="n">
        <v>4860</v>
      </c>
      <c r="E17" s="11" t="n">
        <v>4374</v>
      </c>
      <c r="F17" s="11" t="n">
        <v>3936.6</v>
      </c>
    </row>
    <row r="18">
      <c r="A18" s="10" t="inlineStr">
        <is>
          <t xml:space="preserve">  Written Down Value</t>
        </is>
      </c>
      <c r="B18" s="11" t="n">
        <v>54000</v>
      </c>
      <c r="C18" s="11" t="n">
        <v>48600</v>
      </c>
      <c r="D18" s="11" t="n">
        <v>43740</v>
      </c>
      <c r="E18" s="11" t="n">
        <v>39366</v>
      </c>
      <c r="F18" s="11" t="n">
        <v>35429.4</v>
      </c>
    </row>
    <row r="19">
      <c r="A19" s="12" t="inlineStr">
        <is>
          <t>TOTAL Opening (Gross Block)</t>
        </is>
      </c>
      <c r="B19" s="13" t="n">
        <v>2350000</v>
      </c>
      <c r="C19" s="13" t="n">
        <v>2153000</v>
      </c>
      <c r="D19" s="13" t="n">
        <v>1978000</v>
      </c>
      <c r="E19" s="13" t="n">
        <v>1821005</v>
      </c>
      <c r="F19" s="13" t="n">
        <v>1679181.25</v>
      </c>
    </row>
    <row r="20">
      <c r="A20" s="12" t="inlineStr">
        <is>
          <t>TOTAL Depreciation for Year</t>
        </is>
      </c>
      <c r="B20" s="13" t="n">
        <v>197000</v>
      </c>
      <c r="C20" s="13" t="n">
        <v>175000</v>
      </c>
      <c r="D20" s="13" t="n">
        <v>156995</v>
      </c>
      <c r="E20" s="13" t="n">
        <v>141823.75</v>
      </c>
      <c r="F20" s="13" t="n">
        <v>128748.01</v>
      </c>
    </row>
    <row r="21">
      <c r="A21" s="12" t="inlineStr">
        <is>
          <t>TOTAL Written Down Value (Net Block)</t>
        </is>
      </c>
      <c r="B21" s="13" t="n">
        <v>2153000</v>
      </c>
      <c r="C21" s="13" t="n">
        <v>1978000</v>
      </c>
      <c r="D21" s="13" t="n">
        <v>1821005</v>
      </c>
      <c r="E21" s="13" t="n">
        <v>1679181.25</v>
      </c>
      <c r="F21" s="13" t="n">
        <v>1550433.24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Form IV - Comparative Statement of Current Assets &amp; Liabilities</t>
        </is>
      </c>
    </row>
    <row r="2">
      <c r="A2" s="5" t="inlineStr">
        <is>
          <t>Particulars</t>
        </is>
      </c>
      <c r="B2" s="6" t="inlineStr">
        <is>
          <t>2025-2026</t>
        </is>
      </c>
      <c r="C2" s="6" t="inlineStr">
        <is>
          <t>2026-2027</t>
        </is>
      </c>
      <c r="D2" s="6" t="inlineStr">
        <is>
          <t>2027-2028</t>
        </is>
      </c>
      <c r="E2" s="6" t="inlineStr">
        <is>
          <t>2028-2029</t>
        </is>
      </c>
      <c r="F2" s="6" t="inlineStr">
        <is>
          <t>2029-2030</t>
        </is>
      </c>
    </row>
    <row r="3">
      <c r="A3" s="7" t="inlineStr"/>
      <c r="B3" s="8" t="inlineStr">
        <is>
          <t>(provisional)</t>
        </is>
      </c>
      <c r="C3" s="8" t="inlineStr">
        <is>
          <t>(estimated)</t>
        </is>
      </c>
      <c r="D3" s="8" t="inlineStr">
        <is>
          <t>(projected)</t>
        </is>
      </c>
      <c r="E3" s="8" t="inlineStr">
        <is>
          <t>(projected)</t>
        </is>
      </c>
      <c r="F3" s="8" t="inlineStr">
        <is>
          <t>(projected)</t>
        </is>
      </c>
    </row>
    <row r="4">
      <c r="A4" s="9" t="inlineStr">
        <is>
          <t>A. CURRENT ASSETS</t>
        </is>
      </c>
    </row>
    <row r="5">
      <c r="A5" s="10" t="inlineStr">
        <is>
          <t xml:space="preserve">  1. Raw Material</t>
        </is>
      </c>
      <c r="B5" s="11" t="n">
        <v>542465.75</v>
      </c>
      <c r="C5" s="11" t="n">
        <v>596712.33</v>
      </c>
      <c r="D5" s="11" t="n">
        <v>656383.5600000001</v>
      </c>
      <c r="E5" s="11" t="n">
        <v>722021.92</v>
      </c>
      <c r="F5" s="11" t="n">
        <v>794224.11</v>
      </c>
    </row>
    <row r="6">
      <c r="A6" s="10" t="inlineStr">
        <is>
          <t xml:space="preserve">  2. Work-in-Progress</t>
        </is>
      </c>
      <c r="B6" s="11" t="n">
        <v>222383.56</v>
      </c>
      <c r="C6" s="11" t="n">
        <v>242756.16</v>
      </c>
      <c r="D6" s="11" t="n">
        <v>265277.89</v>
      </c>
      <c r="E6" s="11" t="n">
        <v>290116.26</v>
      </c>
      <c r="F6" s="11" t="n">
        <v>317469.96</v>
      </c>
    </row>
    <row r="7">
      <c r="A7" s="10" t="inlineStr">
        <is>
          <t xml:space="preserve">  3. Finished Goods</t>
        </is>
      </c>
      <c r="B7" s="11" t="n">
        <v>333575.34</v>
      </c>
      <c r="C7" s="11" t="n">
        <v>364134.25</v>
      </c>
      <c r="D7" s="11" t="n">
        <v>397916.84</v>
      </c>
      <c r="E7" s="11" t="n">
        <v>435174.39</v>
      </c>
      <c r="F7" s="11" t="n">
        <v>476204.94</v>
      </c>
    </row>
    <row r="8">
      <c r="A8" s="10" t="inlineStr">
        <is>
          <t xml:space="preserve">  4. Receivables (Debtors)</t>
        </is>
      </c>
      <c r="B8" s="11" t="n">
        <v>986301.37</v>
      </c>
      <c r="C8" s="11" t="n">
        <v>1084931.51</v>
      </c>
      <c r="D8" s="11" t="n">
        <v>1193424.66</v>
      </c>
      <c r="E8" s="11" t="n">
        <v>1312767.12</v>
      </c>
      <c r="F8" s="11" t="n">
        <v>1444043.84</v>
      </c>
    </row>
    <row r="9">
      <c r="A9" s="10" t="inlineStr">
        <is>
          <t xml:space="preserve">  5. Cash &amp; Bank</t>
        </is>
      </c>
      <c r="B9" s="11" t="n">
        <v>2560339.01</v>
      </c>
      <c r="C9" s="11" t="n">
        <v>4980205.73</v>
      </c>
      <c r="D9" s="11" t="n">
        <v>7752947.84</v>
      </c>
      <c r="E9" s="11" t="n">
        <v>10914772.54</v>
      </c>
      <c r="F9" s="11" t="n">
        <v>14505393.36</v>
      </c>
    </row>
    <row r="10">
      <c r="A10" s="12" t="inlineStr">
        <is>
          <t xml:space="preserve">  TOTAL CURRENT ASSETS</t>
        </is>
      </c>
      <c r="B10" s="13" t="n">
        <v>4645065.03</v>
      </c>
      <c r="C10" s="13" t="n">
        <v>7268739.98</v>
      </c>
      <c r="D10" s="13" t="n">
        <v>10265950.78</v>
      </c>
      <c r="E10" s="13" t="n">
        <v>13674852.24</v>
      </c>
      <c r="F10" s="13" t="n">
        <v>17537336.2</v>
      </c>
    </row>
    <row r="11">
      <c r="A11" s="9" t="inlineStr">
        <is>
          <t>B. CURRENT LIABILITIES</t>
        </is>
      </c>
    </row>
    <row r="12">
      <c r="A12" s="10" t="inlineStr">
        <is>
          <t xml:space="preserve">  6. Sundry Creditors</t>
        </is>
      </c>
      <c r="B12" s="11" t="n">
        <v>542465.75</v>
      </c>
      <c r="C12" s="11" t="n">
        <v>596712.33</v>
      </c>
      <c r="D12" s="11" t="n">
        <v>656383.5600000001</v>
      </c>
      <c r="E12" s="11" t="n">
        <v>722021.92</v>
      </c>
      <c r="F12" s="11" t="n">
        <v>794224.11</v>
      </c>
    </row>
    <row r="13">
      <c r="A13" s="10" t="inlineStr">
        <is>
          <t xml:space="preserve">  7. WC Bank Borrowing</t>
        </is>
      </c>
      <c r="B13" s="11" t="n">
        <v>700000</v>
      </c>
      <c r="C13" s="11" t="n">
        <v>700000</v>
      </c>
      <c r="D13" s="11" t="n">
        <v>700000</v>
      </c>
      <c r="E13" s="11" t="n">
        <v>700000</v>
      </c>
      <c r="F13" s="11" t="n">
        <v>700000</v>
      </c>
    </row>
    <row r="14">
      <c r="A14" s="12" t="inlineStr">
        <is>
          <t xml:space="preserve">  TOTAL CURRENT LIABILITIES</t>
        </is>
      </c>
      <c r="B14" s="13" t="n">
        <v>1242465.75</v>
      </c>
      <c r="C14" s="13" t="n">
        <v>1296712.33</v>
      </c>
      <c r="D14" s="13" t="n">
        <v>1356383.56</v>
      </c>
      <c r="E14" s="13" t="n">
        <v>1422021.92</v>
      </c>
      <c r="F14" s="13" t="n">
        <v>1494224.11</v>
      </c>
    </row>
  </sheetData>
  <mergeCells count="3">
    <mergeCell ref="A11:F11"/>
    <mergeCell ref="A1:F1"/>
    <mergeCell ref="A4:F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Ratio Analysis</t>
        </is>
      </c>
    </row>
    <row r="2">
      <c r="A2" s="5" t="inlineStr">
        <is>
          <t>Particulars</t>
        </is>
      </c>
      <c r="B2" s="6" t="inlineStr">
        <is>
          <t>2025-2026</t>
        </is>
      </c>
      <c r="C2" s="6" t="inlineStr">
        <is>
          <t>2026-2027</t>
        </is>
      </c>
      <c r="D2" s="6" t="inlineStr">
        <is>
          <t>2027-2028</t>
        </is>
      </c>
      <c r="E2" s="6" t="inlineStr">
        <is>
          <t>2028-2029</t>
        </is>
      </c>
      <c r="F2" s="6" t="inlineStr">
        <is>
          <t>2029-2030</t>
        </is>
      </c>
    </row>
    <row r="3">
      <c r="A3" s="7" t="inlineStr"/>
      <c r="B3" s="8" t="inlineStr">
        <is>
          <t>(provisional)</t>
        </is>
      </c>
      <c r="C3" s="8" t="inlineStr">
        <is>
          <t>(estimated)</t>
        </is>
      </c>
      <c r="D3" s="8" t="inlineStr">
        <is>
          <t>(projected)</t>
        </is>
      </c>
      <c r="E3" s="8" t="inlineStr">
        <is>
          <t>(projected)</t>
        </is>
      </c>
      <c r="F3" s="8" t="inlineStr">
        <is>
          <t>(projected)</t>
        </is>
      </c>
    </row>
    <row r="4">
      <c r="A4" s="9" t="inlineStr">
        <is>
          <t>PROFITABILITY</t>
        </is>
      </c>
    </row>
    <row r="5">
      <c r="A5" s="10" t="inlineStr">
        <is>
          <t>Gross Profit Ratio (%)</t>
        </is>
      </c>
      <c r="B5" s="14" t="n">
        <v>45</v>
      </c>
      <c r="C5" s="14" t="n">
        <v>45</v>
      </c>
      <c r="D5" s="14" t="n">
        <v>45</v>
      </c>
      <c r="E5" s="14" t="n">
        <v>45</v>
      </c>
      <c r="F5" s="14" t="n">
        <v>45</v>
      </c>
    </row>
    <row r="6">
      <c r="A6" s="10" t="inlineStr">
        <is>
          <t>Net Profit Ratio (%)</t>
        </is>
      </c>
      <c r="B6" s="14" t="n">
        <v>19.73</v>
      </c>
      <c r="C6" s="14" t="n">
        <v>20.59</v>
      </c>
      <c r="D6" s="14" t="n">
        <v>21.37</v>
      </c>
      <c r="E6" s="14" t="n">
        <v>22.07</v>
      </c>
      <c r="F6" s="14" t="n">
        <v>22.68</v>
      </c>
    </row>
    <row r="7">
      <c r="A7" s="10" t="inlineStr">
        <is>
          <t>Return on Capital Employed (%)</t>
        </is>
      </c>
      <c r="B7" s="14" t="n">
        <v>59.12</v>
      </c>
      <c r="C7" s="14" t="n">
        <v>47.05</v>
      </c>
      <c r="D7" s="14" t="n">
        <v>39.45</v>
      </c>
      <c r="E7" s="14" t="n">
        <v>34.22</v>
      </c>
      <c r="F7" s="14" t="n">
        <v>30.43</v>
      </c>
    </row>
    <row r="8">
      <c r="A8" s="9" t="inlineStr">
        <is>
          <t>LIQUIDITY</t>
        </is>
      </c>
    </row>
    <row r="9">
      <c r="A9" s="10" t="inlineStr">
        <is>
          <t>Current Ratio</t>
        </is>
      </c>
      <c r="B9" s="14" t="n">
        <v>3.74</v>
      </c>
      <c r="C9" s="14" t="n">
        <v>5.61</v>
      </c>
      <c r="D9" s="14" t="n">
        <v>7.57</v>
      </c>
      <c r="E9" s="14" t="n">
        <v>9.619999999999999</v>
      </c>
      <c r="F9" s="14" t="n">
        <v>11.74</v>
      </c>
    </row>
    <row r="10">
      <c r="A10" s="10" t="inlineStr">
        <is>
          <t>Quick Ratio</t>
        </is>
      </c>
      <c r="B10" s="14" t="n">
        <v>2.85</v>
      </c>
      <c r="C10" s="14" t="n">
        <v>4.68</v>
      </c>
      <c r="D10" s="14" t="n">
        <v>6.6</v>
      </c>
      <c r="E10" s="14" t="n">
        <v>8.6</v>
      </c>
      <c r="F10" s="14" t="n">
        <v>10.67</v>
      </c>
    </row>
    <row r="11">
      <c r="A11" s="9" t="inlineStr">
        <is>
          <t>SOLVENCY</t>
        </is>
      </c>
    </row>
    <row r="12">
      <c r="A12" s="10" t="inlineStr">
        <is>
          <t>Debt-Equity Ratio</t>
        </is>
      </c>
      <c r="B12" s="14" t="n">
        <v>0.51</v>
      </c>
      <c r="C12" s="14" t="n">
        <v>0.25</v>
      </c>
      <c r="D12" s="14" t="n">
        <v>0.13</v>
      </c>
      <c r="E12" s="14" t="n">
        <v>0.07000000000000001</v>
      </c>
      <c r="F12" s="14" t="n">
        <v>0.04</v>
      </c>
    </row>
    <row r="13">
      <c r="A13" s="10" t="inlineStr">
        <is>
          <t>TOL / TNW</t>
        </is>
      </c>
      <c r="B13" s="14" t="n">
        <v>0.84</v>
      </c>
      <c r="C13" s="14" t="n">
        <v>0.45</v>
      </c>
      <c r="D13" s="14" t="n">
        <v>0.28</v>
      </c>
      <c r="E13" s="14" t="n">
        <v>0.18</v>
      </c>
      <c r="F13" s="14" t="n">
        <v>0.13</v>
      </c>
    </row>
    <row r="14">
      <c r="A14" s="10" t="inlineStr">
        <is>
          <t>TTL / TNW</t>
        </is>
      </c>
      <c r="B14" s="14" t="n">
        <v>0.51</v>
      </c>
      <c r="C14" s="14" t="n">
        <v>0.25</v>
      </c>
      <c r="D14" s="14" t="n">
        <v>0.13</v>
      </c>
      <c r="E14" s="14" t="n">
        <v>0.07000000000000001</v>
      </c>
      <c r="F14" s="14" t="n">
        <v>0.04</v>
      </c>
    </row>
    <row r="15">
      <c r="A15" s="10" t="inlineStr">
        <is>
          <t>Interest Coverage Ratio</t>
        </is>
      </c>
      <c r="B15" s="14" t="n">
        <v>12.54</v>
      </c>
      <c r="C15" s="14" t="n">
        <v>15.53</v>
      </c>
      <c r="D15" s="14" t="n">
        <v>19.87</v>
      </c>
      <c r="E15" s="14" t="n">
        <v>26</v>
      </c>
      <c r="F15" s="14" t="n">
        <v>35.07</v>
      </c>
    </row>
    <row r="16">
      <c r="A16" s="9" t="inlineStr">
        <is>
          <t>EFFICIENCY (TURNOVER)</t>
        </is>
      </c>
    </row>
    <row r="17">
      <c r="A17" s="10" t="inlineStr">
        <is>
          <t>Stock Turnover Ratio</t>
        </is>
      </c>
      <c r="B17" s="14" t="n">
        <v>10.92</v>
      </c>
      <c r="C17" s="14" t="n">
        <v>10.97</v>
      </c>
      <c r="D17" s="14" t="n">
        <v>11</v>
      </c>
      <c r="E17" s="14" t="n">
        <v>11.04</v>
      </c>
      <c r="F17" s="14" t="n">
        <v>11.06</v>
      </c>
    </row>
    <row r="18">
      <c r="A18" s="10" t="inlineStr">
        <is>
          <t>Total Assets Turnover Ratio</t>
        </is>
      </c>
      <c r="B18" s="14" t="n">
        <v>1.7</v>
      </c>
      <c r="C18" s="14" t="n">
        <v>1.39</v>
      </c>
      <c r="D18" s="14" t="n">
        <v>1.17</v>
      </c>
      <c r="E18" s="14" t="n">
        <v>1.02</v>
      </c>
      <c r="F18" s="14" t="n">
        <v>0.91</v>
      </c>
    </row>
    <row r="19">
      <c r="A19" s="10" t="inlineStr">
        <is>
          <t>Fixed Assets Turnover Ratio</t>
        </is>
      </c>
      <c r="B19" s="14" t="n">
        <v>5.21</v>
      </c>
      <c r="C19" s="14" t="n">
        <v>6.2</v>
      </c>
      <c r="D19" s="14" t="n">
        <v>7.37</v>
      </c>
      <c r="E19" s="14" t="n">
        <v>8.73</v>
      </c>
      <c r="F19" s="14" t="n">
        <v>10.33</v>
      </c>
    </row>
    <row r="20">
      <c r="A20" s="10" t="inlineStr">
        <is>
          <t>Working Capital Turnover Ratio</t>
        </is>
      </c>
      <c r="B20" s="14" t="n">
        <v>3.53</v>
      </c>
      <c r="C20" s="14" t="n">
        <v>2.21</v>
      </c>
      <c r="D20" s="14" t="n">
        <v>1.63</v>
      </c>
      <c r="E20" s="14" t="n">
        <v>1.3</v>
      </c>
      <c r="F20" s="14" t="n">
        <v>1.1</v>
      </c>
    </row>
    <row r="21">
      <c r="A21" s="10" t="inlineStr">
        <is>
          <t>Inventory Holding Period (days)</t>
        </is>
      </c>
      <c r="B21" s="14" t="n">
        <v>33.41</v>
      </c>
      <c r="C21" s="14" t="n">
        <v>33.28</v>
      </c>
      <c r="D21" s="14" t="n">
        <v>33.17</v>
      </c>
      <c r="E21" s="14" t="n">
        <v>33.07</v>
      </c>
      <c r="F21" s="14" t="n">
        <v>32.99</v>
      </c>
    </row>
    <row r="22">
      <c r="A22" s="10" t="inlineStr">
        <is>
          <t>Average Collection Period (days)</t>
        </is>
      </c>
      <c r="B22" s="14" t="n">
        <v>30</v>
      </c>
      <c r="C22" s="14" t="n">
        <v>30</v>
      </c>
      <c r="D22" s="14" t="n">
        <v>30</v>
      </c>
      <c r="E22" s="14" t="n">
        <v>30</v>
      </c>
      <c r="F22" s="14" t="n">
        <v>30</v>
      </c>
    </row>
    <row r="23">
      <c r="A23" s="10" t="inlineStr">
        <is>
          <t>Average Credit Period (days)</t>
        </is>
      </c>
      <c r="B23" s="14" t="n">
        <v>30</v>
      </c>
      <c r="C23" s="14" t="n">
        <v>30</v>
      </c>
      <c r="D23" s="14" t="n">
        <v>30</v>
      </c>
      <c r="E23" s="14" t="n">
        <v>30</v>
      </c>
      <c r="F23" s="14" t="n">
        <v>30</v>
      </c>
    </row>
    <row r="24">
      <c r="A24" s="9" t="inlineStr">
        <is>
          <t>GROWTH (YoY)</t>
        </is>
      </c>
    </row>
    <row r="25">
      <c r="A25" s="10" t="inlineStr">
        <is>
          <t>Growth in Net Sales (%)</t>
        </is>
      </c>
      <c r="B25" s="14" t="inlineStr">
        <is>
          <t>N/A</t>
        </is>
      </c>
      <c r="C25" s="14" t="n">
        <v>10</v>
      </c>
      <c r="D25" s="14" t="n">
        <v>10</v>
      </c>
      <c r="E25" s="14" t="n">
        <v>10</v>
      </c>
      <c r="F25" s="14" t="n">
        <v>10</v>
      </c>
    </row>
    <row r="26">
      <c r="A26" s="10" t="inlineStr">
        <is>
          <t>Growth in Net Profit (%)</t>
        </is>
      </c>
      <c r="B26" s="14" t="inlineStr">
        <is>
          <t>N/A</t>
        </is>
      </c>
      <c r="C26" s="14" t="n">
        <v>14.8</v>
      </c>
      <c r="D26" s="14" t="n">
        <v>14.21</v>
      </c>
      <c r="E26" s="14" t="n">
        <v>13.56</v>
      </c>
      <c r="F26" s="14" t="n">
        <v>13.05</v>
      </c>
    </row>
    <row r="27">
      <c r="A27" s="10" t="inlineStr">
        <is>
          <t>Growth in Net Worth (%)</t>
        </is>
      </c>
      <c r="B27" s="14" t="inlineStr">
        <is>
          <t>N/A</t>
        </is>
      </c>
      <c r="C27" s="14" t="n">
        <v>69.73</v>
      </c>
      <c r="D27" s="14" t="n">
        <v>46.92</v>
      </c>
      <c r="E27" s="14" t="n">
        <v>36.27</v>
      </c>
      <c r="F27" s="14" t="n">
        <v>30.09</v>
      </c>
    </row>
    <row r="28">
      <c r="A28" s="9" t="inlineStr">
        <is>
          <t>ADDITIONAL</t>
        </is>
      </c>
    </row>
    <row r="29">
      <c r="A29" s="10" t="inlineStr">
        <is>
          <t>Tangible Net Worth</t>
        </is>
      </c>
      <c r="B29" s="11" t="n">
        <v>3767137.74</v>
      </c>
      <c r="C29" s="11" t="n">
        <v>6484643.03</v>
      </c>
      <c r="D29" s="11" t="n">
        <v>9588264.529999999</v>
      </c>
      <c r="E29" s="11" t="n">
        <v>13112780.8</v>
      </c>
      <c r="F29" s="11" t="n">
        <v>17097391.48</v>
      </c>
    </row>
    <row r="30">
      <c r="A30" s="10" t="inlineStr">
        <is>
          <t>Net Working Capital</t>
        </is>
      </c>
      <c r="B30" s="11" t="n">
        <v>3402599.28</v>
      </c>
      <c r="C30" s="11" t="n">
        <v>5972027.65</v>
      </c>
      <c r="D30" s="11" t="n">
        <v>8909567.220000001</v>
      </c>
      <c r="E30" s="11" t="n">
        <v>12252830.32</v>
      </c>
      <c r="F30" s="11" t="n">
        <v>16043112.09</v>
      </c>
    </row>
  </sheetData>
  <mergeCells count="7">
    <mergeCell ref="A24:F24"/>
    <mergeCell ref="A16:F16"/>
    <mergeCell ref="A11:F11"/>
    <mergeCell ref="A28:F28"/>
    <mergeCell ref="A1:F1"/>
    <mergeCell ref="A8:F8"/>
    <mergeCell ref="A4:F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Turnover Method (Nayak Committee)</t>
        </is>
      </c>
    </row>
    <row r="2">
      <c r="A2" s="5" t="inlineStr">
        <is>
          <t>Particulars</t>
        </is>
      </c>
      <c r="B2" s="6" t="inlineStr">
        <is>
          <t>2025-2026</t>
        </is>
      </c>
      <c r="C2" s="6" t="inlineStr">
        <is>
          <t>2026-2027</t>
        </is>
      </c>
      <c r="D2" s="6" t="inlineStr">
        <is>
          <t>2027-2028</t>
        </is>
      </c>
      <c r="E2" s="6" t="inlineStr">
        <is>
          <t>2028-2029</t>
        </is>
      </c>
      <c r="F2" s="6" t="inlineStr">
        <is>
          <t>2029-2030</t>
        </is>
      </c>
    </row>
    <row r="3">
      <c r="A3" s="7" t="inlineStr"/>
      <c r="B3" s="8" t="inlineStr">
        <is>
          <t>(provisional)</t>
        </is>
      </c>
      <c r="C3" s="8" t="inlineStr">
        <is>
          <t>(estimated)</t>
        </is>
      </c>
      <c r="D3" s="8" t="inlineStr">
        <is>
          <t>(projected)</t>
        </is>
      </c>
      <c r="E3" s="8" t="inlineStr">
        <is>
          <t>(projected)</t>
        </is>
      </c>
      <c r="F3" s="8" t="inlineStr">
        <is>
          <t>(projected)</t>
        </is>
      </c>
    </row>
    <row r="4">
      <c r="A4" s="12" t="inlineStr">
        <is>
          <t>A. Turnover</t>
        </is>
      </c>
      <c r="B4" s="13" t="n">
        <v>12000000</v>
      </c>
      <c r="C4" s="13" t="n">
        <v>13200000</v>
      </c>
      <c r="D4" s="13" t="n">
        <v>14520000</v>
      </c>
      <c r="E4" s="13" t="n">
        <v>15972000</v>
      </c>
      <c r="F4" s="13" t="n">
        <v>17569200</v>
      </c>
    </row>
    <row r="5">
      <c r="A5" s="10" t="inlineStr">
        <is>
          <t>B. 25% of Turnover</t>
        </is>
      </c>
      <c r="B5" s="11" t="n">
        <v>3000000</v>
      </c>
      <c r="C5" s="11" t="n">
        <v>3300000</v>
      </c>
      <c r="D5" s="11" t="n">
        <v>3630000</v>
      </c>
      <c r="E5" s="11" t="n">
        <v>3993000</v>
      </c>
      <c r="F5" s="11" t="n">
        <v>4392300</v>
      </c>
    </row>
    <row r="6">
      <c r="A6" s="10" t="inlineStr">
        <is>
          <t>C. Margin @ 5% of Turnover</t>
        </is>
      </c>
      <c r="B6" s="11" t="n">
        <v>600000</v>
      </c>
      <c r="C6" s="11" t="n">
        <v>660000</v>
      </c>
      <c r="D6" s="11" t="n">
        <v>726000</v>
      </c>
      <c r="E6" s="11" t="n">
        <v>798600</v>
      </c>
      <c r="F6" s="11" t="n">
        <v>878460</v>
      </c>
    </row>
    <row r="7">
      <c r="A7" s="10" t="inlineStr">
        <is>
          <t>D. Actual / Projected NWC</t>
        </is>
      </c>
      <c r="B7" s="11" t="n">
        <v>3402599.28</v>
      </c>
      <c r="C7" s="11" t="n">
        <v>5972027.65</v>
      </c>
      <c r="D7" s="11" t="n">
        <v>8909567.220000001</v>
      </c>
      <c r="E7" s="11" t="n">
        <v>12252830.32</v>
      </c>
      <c r="F7" s="11" t="n">
        <v>16043112.09</v>
      </c>
    </row>
    <row r="8">
      <c r="A8" s="10" t="inlineStr">
        <is>
          <t>E. (B - C)</t>
        </is>
      </c>
      <c r="B8" s="11" t="n">
        <v>2400000</v>
      </c>
      <c r="C8" s="11" t="n">
        <v>2640000</v>
      </c>
      <c r="D8" s="11" t="n">
        <v>2904000</v>
      </c>
      <c r="E8" s="11" t="n">
        <v>3194400</v>
      </c>
      <c r="F8" s="11" t="n">
        <v>3513840</v>
      </c>
    </row>
    <row r="9">
      <c r="A9" s="10" t="inlineStr">
        <is>
          <t>F. (B - D)</t>
        </is>
      </c>
      <c r="B9" s="11" t="n">
        <v>-402599.28</v>
      </c>
      <c r="C9" s="11" t="n">
        <v>-2672027.65</v>
      </c>
      <c r="D9" s="11" t="n">
        <v>-5279567.22</v>
      </c>
      <c r="E9" s="11" t="n">
        <v>-8259830.32</v>
      </c>
      <c r="F9" s="11" t="n">
        <v>-11650812.09</v>
      </c>
    </row>
    <row r="10">
      <c r="A10" s="12" t="inlineStr">
        <is>
          <t>G. MPBF (lower of E or F)</t>
        </is>
      </c>
      <c r="B10" s="13" t="n">
        <v>-402599.28</v>
      </c>
      <c r="C10" s="13" t="n">
        <v>-2672027.65</v>
      </c>
      <c r="D10" s="13" t="n">
        <v>-5279567.22</v>
      </c>
      <c r="E10" s="13" t="n">
        <v>-8259830.32</v>
      </c>
      <c r="F10" s="13" t="n">
        <v>-11650812.09</v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Maximum Permissible Bank Finance (Tandon)</t>
        </is>
      </c>
    </row>
    <row r="2">
      <c r="A2" s="5" t="inlineStr">
        <is>
          <t>Particulars</t>
        </is>
      </c>
      <c r="B2" s="6" t="inlineStr">
        <is>
          <t>2025-2026</t>
        </is>
      </c>
      <c r="C2" s="6" t="inlineStr">
        <is>
          <t>2026-2027</t>
        </is>
      </c>
      <c r="D2" s="6" t="inlineStr">
        <is>
          <t>2027-2028</t>
        </is>
      </c>
      <c r="E2" s="6" t="inlineStr">
        <is>
          <t>2028-2029</t>
        </is>
      </c>
      <c r="F2" s="6" t="inlineStr">
        <is>
          <t>2029-2030</t>
        </is>
      </c>
    </row>
    <row r="3">
      <c r="A3" s="7" t="inlineStr"/>
      <c r="B3" s="8" t="inlineStr">
        <is>
          <t>(provisional)</t>
        </is>
      </c>
      <c r="C3" s="8" t="inlineStr">
        <is>
          <t>(estimated)</t>
        </is>
      </c>
      <c r="D3" s="8" t="inlineStr">
        <is>
          <t>(projected)</t>
        </is>
      </c>
      <c r="E3" s="8" t="inlineStr">
        <is>
          <t>(projected)</t>
        </is>
      </c>
      <c r="F3" s="8" t="inlineStr">
        <is>
          <t>(projected)</t>
        </is>
      </c>
    </row>
    <row r="4">
      <c r="A4" s="9" t="inlineStr">
        <is>
          <t>FIRST METHOD OF LENDING</t>
        </is>
      </c>
    </row>
    <row r="5">
      <c r="A5" s="10" t="inlineStr">
        <is>
          <t>1. Total Current Assets</t>
        </is>
      </c>
      <c r="B5" s="11" t="n">
        <v>4645065.03</v>
      </c>
      <c r="C5" s="11" t="n">
        <v>7268739.98</v>
      </c>
      <c r="D5" s="11" t="n">
        <v>10265950.78</v>
      </c>
      <c r="E5" s="11" t="n">
        <v>13674852.24</v>
      </c>
      <c r="F5" s="11" t="n">
        <v>17537336.2</v>
      </c>
    </row>
    <row r="6">
      <c r="A6" s="10" t="inlineStr">
        <is>
          <t>2. Other Current Liabilities</t>
        </is>
      </c>
      <c r="B6" s="11" t="n">
        <v>542465.75</v>
      </c>
      <c r="C6" s="11" t="n">
        <v>596712.33</v>
      </c>
      <c r="D6" s="11" t="n">
        <v>656383.5600000001</v>
      </c>
      <c r="E6" s="11" t="n">
        <v>722021.92</v>
      </c>
      <c r="F6" s="11" t="n">
        <v>794224.11</v>
      </c>
    </row>
    <row r="7">
      <c r="A7" s="10" t="inlineStr">
        <is>
          <t>3. Working Capital Gap (1-2)</t>
        </is>
      </c>
      <c r="B7" s="11" t="n">
        <v>4102599.28</v>
      </c>
      <c r="C7" s="11" t="n">
        <v>6672027.65</v>
      </c>
      <c r="D7" s="11" t="n">
        <v>9609567.220000001</v>
      </c>
      <c r="E7" s="11" t="n">
        <v>12952830.32</v>
      </c>
      <c r="F7" s="11" t="n">
        <v>16743112.09</v>
      </c>
    </row>
    <row r="8">
      <c r="A8" s="10" t="inlineStr">
        <is>
          <t>4. Min Stipulated NWC (25% of Gap)</t>
        </is>
      </c>
      <c r="B8" s="11" t="n">
        <v>1025649.82</v>
      </c>
      <c r="C8" s="11" t="n">
        <v>1668006.91</v>
      </c>
      <c r="D8" s="11" t="n">
        <v>2402391.81</v>
      </c>
      <c r="E8" s="11" t="n">
        <v>3238207.58</v>
      </c>
      <c r="F8" s="11" t="n">
        <v>4185778.02</v>
      </c>
    </row>
    <row r="9">
      <c r="A9" s="10" t="inlineStr">
        <is>
          <t>5. Actual / Projected NWC</t>
        </is>
      </c>
      <c r="B9" s="11" t="n">
        <v>3402599.28</v>
      </c>
      <c r="C9" s="11" t="n">
        <v>5972027.65</v>
      </c>
      <c r="D9" s="11" t="n">
        <v>8909567.220000001</v>
      </c>
      <c r="E9" s="11" t="n">
        <v>12252830.32</v>
      </c>
      <c r="F9" s="11" t="n">
        <v>16043112.09</v>
      </c>
    </row>
    <row r="10">
      <c r="A10" s="10" t="inlineStr">
        <is>
          <t>6. Item 3 - Item 4</t>
        </is>
      </c>
      <c r="B10" s="11" t="n">
        <v>3076949.46</v>
      </c>
      <c r="C10" s="11" t="n">
        <v>5004020.74</v>
      </c>
      <c r="D10" s="11" t="n">
        <v>7207175.41</v>
      </c>
      <c r="E10" s="11" t="n">
        <v>9714622.74</v>
      </c>
      <c r="F10" s="11" t="n">
        <v>12557334.07</v>
      </c>
    </row>
    <row r="11">
      <c r="A11" s="10" t="inlineStr">
        <is>
          <t>7. Item 3 - Item 5</t>
        </is>
      </c>
      <c r="B11" s="11" t="n">
        <v>700000</v>
      </c>
      <c r="C11" s="11" t="n">
        <v>700000</v>
      </c>
      <c r="D11" s="11" t="n">
        <v>700000</v>
      </c>
      <c r="E11" s="11" t="n">
        <v>700000</v>
      </c>
      <c r="F11" s="11" t="n">
        <v>700000</v>
      </c>
    </row>
    <row r="12">
      <c r="A12" s="12" t="inlineStr">
        <is>
          <t>8. MPBF First Method</t>
        </is>
      </c>
      <c r="B12" s="13" t="n">
        <v>700000</v>
      </c>
      <c r="C12" s="13" t="n">
        <v>700000</v>
      </c>
      <c r="D12" s="13" t="n">
        <v>700000</v>
      </c>
      <c r="E12" s="13" t="n">
        <v>700000</v>
      </c>
      <c r="F12" s="13" t="n">
        <v>700000</v>
      </c>
    </row>
    <row r="13">
      <c r="A13" s="9" t="inlineStr">
        <is>
          <t>SECOND METHOD OF LENDING</t>
        </is>
      </c>
    </row>
    <row r="14">
      <c r="A14" s="10" t="inlineStr">
        <is>
          <t>1. Total Current Assets</t>
        </is>
      </c>
      <c r="B14" s="11" t="n">
        <v>4645065.03</v>
      </c>
      <c r="C14" s="11" t="n">
        <v>7268739.98</v>
      </c>
      <c r="D14" s="11" t="n">
        <v>10265950.78</v>
      </c>
      <c r="E14" s="11" t="n">
        <v>13674852.24</v>
      </c>
      <c r="F14" s="11" t="n">
        <v>17537336.2</v>
      </c>
    </row>
    <row r="15">
      <c r="A15" s="10" t="inlineStr">
        <is>
          <t>2. Other Current Liabilities</t>
        </is>
      </c>
      <c r="B15" s="11" t="n">
        <v>542465.75</v>
      </c>
      <c r="C15" s="11" t="n">
        <v>596712.33</v>
      </c>
      <c r="D15" s="11" t="n">
        <v>656383.5600000001</v>
      </c>
      <c r="E15" s="11" t="n">
        <v>722021.92</v>
      </c>
      <c r="F15" s="11" t="n">
        <v>794224.11</v>
      </c>
    </row>
    <row r="16">
      <c r="A16" s="10" t="inlineStr">
        <is>
          <t>3. Working Capital Gap (1-2)</t>
        </is>
      </c>
      <c r="B16" s="11" t="n">
        <v>4102599.28</v>
      </c>
      <c r="C16" s="11" t="n">
        <v>6672027.65</v>
      </c>
      <c r="D16" s="11" t="n">
        <v>9609567.220000001</v>
      </c>
      <c r="E16" s="11" t="n">
        <v>12952830.32</v>
      </c>
      <c r="F16" s="11" t="n">
        <v>16743112.09</v>
      </c>
    </row>
    <row r="17">
      <c r="A17" s="10" t="inlineStr">
        <is>
          <t>4. Min Stipulated NWC (25% of CA)</t>
        </is>
      </c>
      <c r="B17" s="11" t="n">
        <v>1161266.26</v>
      </c>
      <c r="C17" s="11" t="n">
        <v>1817185</v>
      </c>
      <c r="D17" s="11" t="n">
        <v>2566487.69</v>
      </c>
      <c r="E17" s="11" t="n">
        <v>3418713.06</v>
      </c>
      <c r="F17" s="11" t="n">
        <v>4384334.05</v>
      </c>
    </row>
    <row r="18">
      <c r="A18" s="10" t="inlineStr">
        <is>
          <t>5. Actual / Projected NWC</t>
        </is>
      </c>
      <c r="B18" s="11" t="n">
        <v>3402599.28</v>
      </c>
      <c r="C18" s="11" t="n">
        <v>5972027.65</v>
      </c>
      <c r="D18" s="11" t="n">
        <v>8909567.220000001</v>
      </c>
      <c r="E18" s="11" t="n">
        <v>12252830.32</v>
      </c>
      <c r="F18" s="11" t="n">
        <v>16043112.09</v>
      </c>
    </row>
    <row r="19">
      <c r="A19" s="10" t="inlineStr">
        <is>
          <t>6. Item 3 - Item 4</t>
        </is>
      </c>
      <c r="B19" s="11" t="n">
        <v>2941333.02</v>
      </c>
      <c r="C19" s="11" t="n">
        <v>4854842.65</v>
      </c>
      <c r="D19" s="11" t="n">
        <v>7043079.53</v>
      </c>
      <c r="E19" s="11" t="n">
        <v>9534117.26</v>
      </c>
      <c r="F19" s="11" t="n">
        <v>12358778.04</v>
      </c>
    </row>
    <row r="20">
      <c r="A20" s="10" t="inlineStr">
        <is>
          <t>7. Item 3 - Item 5</t>
        </is>
      </c>
      <c r="B20" s="11" t="n">
        <v>700000</v>
      </c>
      <c r="C20" s="11" t="n">
        <v>700000</v>
      </c>
      <c r="D20" s="11" t="n">
        <v>700000</v>
      </c>
      <c r="E20" s="11" t="n">
        <v>700000</v>
      </c>
      <c r="F20" s="11" t="n">
        <v>700000</v>
      </c>
    </row>
    <row r="21">
      <c r="A21" s="12" t="inlineStr">
        <is>
          <t>8. MPBF Second Method</t>
        </is>
      </c>
      <c r="B21" s="13" t="n">
        <v>700000</v>
      </c>
      <c r="C21" s="13" t="n">
        <v>700000</v>
      </c>
      <c r="D21" s="13" t="n">
        <v>700000</v>
      </c>
      <c r="E21" s="13" t="n">
        <v>700000</v>
      </c>
      <c r="F21" s="13" t="n">
        <v>700000</v>
      </c>
    </row>
  </sheetData>
  <mergeCells count="3">
    <mergeCell ref="A13:F13"/>
    <mergeCell ref="A1:F1"/>
    <mergeCell ref="A4:F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Assessed Bank Finance (ABF)</t>
        </is>
      </c>
    </row>
    <row r="2">
      <c r="A2" s="5" t="inlineStr">
        <is>
          <t>Particulars</t>
        </is>
      </c>
      <c r="B2" s="6" t="inlineStr">
        <is>
          <t>2025-2026</t>
        </is>
      </c>
      <c r="C2" s="6" t="inlineStr">
        <is>
          <t>2026-2027</t>
        </is>
      </c>
      <c r="D2" s="6" t="inlineStr">
        <is>
          <t>2027-2028</t>
        </is>
      </c>
      <c r="E2" s="6" t="inlineStr">
        <is>
          <t>2028-2029</t>
        </is>
      </c>
      <c r="F2" s="6" t="inlineStr">
        <is>
          <t>2029-2030</t>
        </is>
      </c>
    </row>
    <row r="3">
      <c r="A3" s="7" t="inlineStr"/>
      <c r="B3" s="8" t="inlineStr">
        <is>
          <t>(provisional)</t>
        </is>
      </c>
      <c r="C3" s="8" t="inlineStr">
        <is>
          <t>(estimated)</t>
        </is>
      </c>
      <c r="D3" s="8" t="inlineStr">
        <is>
          <t>(projected)</t>
        </is>
      </c>
      <c r="E3" s="8" t="inlineStr">
        <is>
          <t>(projected)</t>
        </is>
      </c>
      <c r="F3" s="8" t="inlineStr">
        <is>
          <t>(projected)</t>
        </is>
      </c>
    </row>
    <row r="4">
      <c r="A4" s="12" t="inlineStr">
        <is>
          <t>1. Total Current Assets (TCA)</t>
        </is>
      </c>
      <c r="B4" s="13" t="n">
        <v>4645065.03</v>
      </c>
      <c r="C4" s="13" t="n">
        <v>7268739.98</v>
      </c>
      <c r="D4" s="13" t="n">
        <v>10265950.78</v>
      </c>
      <c r="E4" s="13" t="n">
        <v>13674852.24</v>
      </c>
      <c r="F4" s="13" t="n">
        <v>17537336.2</v>
      </c>
    </row>
    <row r="5">
      <c r="A5" s="10" t="inlineStr">
        <is>
          <t>2. Current Liabilities (other than bank borrowing)</t>
        </is>
      </c>
      <c r="B5" s="11" t="n">
        <v>542465.75</v>
      </c>
      <c r="C5" s="11" t="n">
        <v>596712.33</v>
      </c>
      <c r="D5" s="11" t="n">
        <v>656383.5600000001</v>
      </c>
      <c r="E5" s="11" t="n">
        <v>722021.92</v>
      </c>
      <c r="F5" s="11" t="n">
        <v>794224.11</v>
      </c>
    </row>
    <row r="6">
      <c r="A6" s="12" t="inlineStr">
        <is>
          <t>3. Working Capital Gap (1 - 2)</t>
        </is>
      </c>
      <c r="B6" s="13" t="n">
        <v>4102599.28</v>
      </c>
      <c r="C6" s="13" t="n">
        <v>6672027.65</v>
      </c>
      <c r="D6" s="13" t="n">
        <v>9609567.220000001</v>
      </c>
      <c r="E6" s="13" t="n">
        <v>12952830.32</v>
      </c>
      <c r="F6" s="13" t="n">
        <v>16743112.09</v>
      </c>
    </row>
    <row r="7">
      <c r="A7" s="10" t="inlineStr">
        <is>
          <t>4. Net Working Capital (actual / projected)</t>
        </is>
      </c>
      <c r="B7" s="11" t="n">
        <v>3402599.28</v>
      </c>
      <c r="C7" s="11" t="n">
        <v>5972027.65</v>
      </c>
      <c r="D7" s="11" t="n">
        <v>8909567.220000001</v>
      </c>
      <c r="E7" s="11" t="n">
        <v>12252830.32</v>
      </c>
      <c r="F7" s="11" t="n">
        <v>16043112.09</v>
      </c>
    </row>
    <row r="8">
      <c r="A8" s="12" t="inlineStr">
        <is>
          <t>5. Assessed Bank Finance (3 - 4)</t>
        </is>
      </c>
      <c r="B8" s="13" t="n">
        <v>700000</v>
      </c>
      <c r="C8" s="13" t="n">
        <v>700000</v>
      </c>
      <c r="D8" s="13" t="n">
        <v>700000</v>
      </c>
      <c r="E8" s="13" t="n">
        <v>700000</v>
      </c>
      <c r="F8" s="13" t="n">
        <v>700000</v>
      </c>
    </row>
    <row r="9">
      <c r="A9" s="9" t="inlineStr">
        <is>
          <t>DIAGNOSTIC RATIOS</t>
        </is>
      </c>
    </row>
    <row r="10">
      <c r="A10" s="10" t="inlineStr">
        <is>
          <t>NWC / TCA (%)</t>
        </is>
      </c>
      <c r="B10" s="14" t="n">
        <v>73.3</v>
      </c>
      <c r="C10" s="14" t="n">
        <v>82.2</v>
      </c>
      <c r="D10" s="14" t="n">
        <v>86.8</v>
      </c>
      <c r="E10" s="14" t="n">
        <v>89.59999999999999</v>
      </c>
      <c r="F10" s="14" t="n">
        <v>91.5</v>
      </c>
    </row>
    <row r="11">
      <c r="A11" s="10" t="inlineStr">
        <is>
          <t>Bank Finance / TCA (%)</t>
        </is>
      </c>
      <c r="B11" s="14" t="n">
        <v>15.1</v>
      </c>
      <c r="C11" s="14" t="n">
        <v>9.6</v>
      </c>
      <c r="D11" s="14" t="n">
        <v>6.8</v>
      </c>
      <c r="E11" s="14" t="n">
        <v>5.1</v>
      </c>
      <c r="F11" s="14" t="n">
        <v>4</v>
      </c>
    </row>
    <row r="12">
      <c r="A12" s="10" t="inlineStr">
        <is>
          <t>Other CL / TCA (%)</t>
        </is>
      </c>
      <c r="B12" s="14" t="n">
        <v>11.7</v>
      </c>
      <c r="C12" s="14" t="n">
        <v>8.199999999999999</v>
      </c>
      <c r="D12" s="14" t="n">
        <v>6.4</v>
      </c>
      <c r="E12" s="14" t="n">
        <v>5.3</v>
      </c>
      <c r="F12" s="14" t="n">
        <v>4.5</v>
      </c>
    </row>
    <row r="13">
      <c r="A13" s="10" t="inlineStr">
        <is>
          <t>Sundry Creditors / TCA (%)</t>
        </is>
      </c>
      <c r="B13" s="14" t="n">
        <v>11.7</v>
      </c>
      <c r="C13" s="14" t="n">
        <v>8.199999999999999</v>
      </c>
      <c r="D13" s="14" t="n">
        <v>6.4</v>
      </c>
      <c r="E13" s="14" t="n">
        <v>5.3</v>
      </c>
      <c r="F13" s="14" t="n">
        <v>4.5</v>
      </c>
    </row>
    <row r="14">
      <c r="A14" s="10" t="inlineStr">
        <is>
          <t>Inventory / Net Sales (days)</t>
        </is>
      </c>
      <c r="B14" s="14" t="n">
        <v>33</v>
      </c>
      <c r="C14" s="14" t="n">
        <v>33</v>
      </c>
      <c r="D14" s="14" t="n">
        <v>33</v>
      </c>
      <c r="E14" s="14" t="n">
        <v>33</v>
      </c>
      <c r="F14" s="14" t="n">
        <v>33</v>
      </c>
    </row>
    <row r="15">
      <c r="A15" s="10" t="inlineStr">
        <is>
          <t>Receivables / Gross Sales (days)</t>
        </is>
      </c>
      <c r="B15" s="14" t="n">
        <v>30</v>
      </c>
      <c r="C15" s="14" t="n">
        <v>30</v>
      </c>
      <c r="D15" s="14" t="n">
        <v>30</v>
      </c>
      <c r="E15" s="14" t="n">
        <v>30</v>
      </c>
      <c r="F15" s="14" t="n">
        <v>30</v>
      </c>
    </row>
    <row r="16">
      <c r="A16" s="10" t="inlineStr">
        <is>
          <t>Sundry Creditors / Purchases (days)</t>
        </is>
      </c>
      <c r="B16" s="14" t="n">
        <v>30</v>
      </c>
      <c r="C16" s="14" t="n">
        <v>30</v>
      </c>
      <c r="D16" s="14" t="n">
        <v>30</v>
      </c>
      <c r="E16" s="14" t="n">
        <v>30</v>
      </c>
      <c r="F16" s="14" t="n">
        <v>30</v>
      </c>
    </row>
  </sheetData>
  <mergeCells count="2">
    <mergeCell ref="A1:F1"/>
    <mergeCell ref="A9:F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</cols>
  <sheetData>
    <row r="1" ht="22" customHeight="1">
      <c r="A1" s="1" t="inlineStr">
        <is>
          <t>Security &amp; Collateral Coverage</t>
        </is>
      </c>
    </row>
    <row r="2">
      <c r="A2" s="5" t="inlineStr">
        <is>
          <t>Particulars</t>
        </is>
      </c>
      <c r="B2" s="6" t="inlineStr">
        <is>
          <t>Amount</t>
        </is>
      </c>
    </row>
    <row r="3">
      <c r="A3" s="7" t="inlineStr"/>
      <c r="B3" s="8" t="inlineStr">
        <is>
          <t>(Rs.)</t>
        </is>
      </c>
    </row>
    <row r="4">
      <c r="A4" s="9" t="inlineStr">
        <is>
          <t>A. PRIMARY SECURITY (hypothecation)</t>
        </is>
      </c>
    </row>
    <row r="5">
      <c r="A5" s="10" t="inlineStr">
        <is>
          <t>Fixed Assets financed (plant, machinery, etc.)</t>
        </is>
      </c>
      <c r="B5" s="11" t="n">
        <v>2500000</v>
      </c>
    </row>
    <row r="6">
      <c r="A6" s="10" t="inlineStr">
        <is>
          <t>Current Assets (stock + book debts), Yr 1</t>
        </is>
      </c>
      <c r="B6" s="11" t="n">
        <v>2084726.03</v>
      </c>
    </row>
    <row r="7">
      <c r="A7" s="12" t="inlineStr">
        <is>
          <t>Total Primary Security</t>
        </is>
      </c>
      <c r="B7" s="13" t="n">
        <v>4584726.03</v>
      </c>
    </row>
    <row r="8">
      <c r="A8" s="10" t="inlineStr">
        <is>
          <t xml:space="preserve">  Description: Hypothecation of plant &amp; machinery and entire current assets</t>
        </is>
      </c>
      <c r="B8" s="14" t="inlineStr"/>
    </row>
    <row r="9">
      <c r="A9" s="9" t="inlineStr">
        <is>
          <t>B. COLLATERAL SECURITY (offered)</t>
        </is>
      </c>
    </row>
    <row r="10">
      <c r="A10" s="10" t="inlineStr">
        <is>
          <t xml:space="preserve">  Residential Property: Flat at Baner, Pune  [owner: Anil Deshmukh]</t>
        </is>
      </c>
      <c r="B10" s="11" t="n">
        <v>4500000</v>
      </c>
    </row>
    <row r="11">
      <c r="A11" s="10" t="inlineStr">
        <is>
          <t xml:space="preserve">  Fixed Deposit: Lien on bank FD  [owner: Anil Deshmukh]</t>
        </is>
      </c>
      <c r="B11" s="11" t="n">
        <v>800000</v>
      </c>
    </row>
    <row r="12">
      <c r="A12" s="12" t="inlineStr">
        <is>
          <t>Total Collateral - Market Value</t>
        </is>
      </c>
      <c r="B12" s="13" t="n">
        <v>5300000</v>
      </c>
    </row>
    <row r="13">
      <c r="A13" s="12" t="inlineStr">
        <is>
          <t>Total Collateral - Forced Sale Value (FSV)</t>
        </is>
      </c>
      <c r="B13" s="13" t="n">
        <v>4400000</v>
      </c>
    </row>
    <row r="14">
      <c r="A14" s="9" t="inlineStr">
        <is>
          <t>C. EXPOSURE &amp; COVERAGE</t>
        </is>
      </c>
    </row>
    <row r="15">
      <c r="A15" s="12" t="inlineStr">
        <is>
          <t>Total Bank Exposure (TL + WC)</t>
        </is>
      </c>
      <c r="B15" s="13" t="n">
        <v>2800000</v>
      </c>
    </row>
    <row r="16">
      <c r="A16" s="12" t="inlineStr">
        <is>
          <t>Total Security (Primary + Collateral MV)</t>
        </is>
      </c>
      <c r="B16" s="13" t="n">
        <v>9884726.029999999</v>
      </c>
    </row>
    <row r="17">
      <c r="A17" s="12" t="inlineStr">
        <is>
          <t>Asset Coverage Ratio (Total Security / Exposure)</t>
        </is>
      </c>
      <c r="B17" s="15" t="inlineStr">
        <is>
          <t>3.53x</t>
        </is>
      </c>
    </row>
    <row r="18">
      <c r="A18" s="10" t="inlineStr">
        <is>
          <t>Collateral FSV Coverage (FSV / Exposure)</t>
        </is>
      </c>
      <c r="B18" s="14" t="inlineStr">
        <is>
          <t>1.57x</t>
        </is>
      </c>
    </row>
    <row r="19">
      <c r="A19" s="10" t="inlineStr">
        <is>
          <t>CGTMSE Guarantee Cover</t>
        </is>
      </c>
      <c r="B19" s="14" t="inlineStr">
        <is>
          <t>Yes — 75.0%</t>
        </is>
      </c>
    </row>
    <row r="20">
      <c r="A20" s="10" t="inlineStr">
        <is>
          <t>Asset Insurance Arranged</t>
        </is>
      </c>
      <c r="B20" s="14" t="inlineStr">
        <is>
          <t>Yes</t>
        </is>
      </c>
    </row>
  </sheetData>
  <mergeCells count="4">
    <mergeCell ref="A4:B4"/>
    <mergeCell ref="A14:B14"/>
    <mergeCell ref="A9:B9"/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Term Loan Repayment Schedule</t>
        </is>
      </c>
    </row>
    <row r="2">
      <c r="A2" s="5" t="inlineStr">
        <is>
          <t>Particulars</t>
        </is>
      </c>
      <c r="B2" s="6" t="inlineStr">
        <is>
          <t>2025-2026</t>
        </is>
      </c>
      <c r="C2" s="6" t="inlineStr">
        <is>
          <t>2026-2027</t>
        </is>
      </c>
      <c r="D2" s="6" t="inlineStr">
        <is>
          <t>2027-2028</t>
        </is>
      </c>
      <c r="E2" s="6" t="inlineStr">
        <is>
          <t>2028-2029</t>
        </is>
      </c>
      <c r="F2" s="6" t="inlineStr">
        <is>
          <t>2029-2030</t>
        </is>
      </c>
    </row>
    <row r="3">
      <c r="A3" s="7" t="inlineStr"/>
      <c r="B3" s="8" t="inlineStr">
        <is>
          <t>(provisional)</t>
        </is>
      </c>
      <c r="C3" s="8" t="inlineStr">
        <is>
          <t>(estimated)</t>
        </is>
      </c>
      <c r="D3" s="8" t="inlineStr">
        <is>
          <t>(projected)</t>
        </is>
      </c>
      <c r="E3" s="8" t="inlineStr">
        <is>
          <t>(projected)</t>
        </is>
      </c>
      <c r="F3" s="8" t="inlineStr">
        <is>
          <t>(projected)</t>
        </is>
      </c>
    </row>
    <row r="4">
      <c r="A4" s="9" t="inlineStr">
        <is>
          <t>TERM LOAN</t>
        </is>
      </c>
    </row>
    <row r="5">
      <c r="A5" s="12" t="inlineStr">
        <is>
          <t>Opening Balance</t>
        </is>
      </c>
      <c r="B5" s="13" t="n">
        <v>2100000</v>
      </c>
      <c r="C5" s="13" t="n">
        <v>1938461.54</v>
      </c>
      <c r="D5" s="13" t="n">
        <v>1615384.62</v>
      </c>
      <c r="E5" s="13" t="n">
        <v>1292307.69</v>
      </c>
      <c r="F5" s="13" t="n">
        <v>969230.77</v>
      </c>
    </row>
    <row r="6">
      <c r="A6" s="10" t="inlineStr">
        <is>
          <t>Principal Repayment (during year)</t>
        </is>
      </c>
      <c r="B6" s="11" t="n">
        <v>161538.46</v>
      </c>
      <c r="C6" s="11" t="n">
        <v>323076.92</v>
      </c>
      <c r="D6" s="11" t="n">
        <v>323076.92</v>
      </c>
      <c r="E6" s="11" t="n">
        <v>323076.92</v>
      </c>
      <c r="F6" s="11" t="n">
        <v>323076.92</v>
      </c>
    </row>
    <row r="7">
      <c r="A7" s="10" t="inlineStr">
        <is>
          <t>Interest on Term Loan</t>
        </is>
      </c>
      <c r="B7" s="11" t="n">
        <v>216966.35</v>
      </c>
      <c r="C7" s="11" t="n">
        <v>187990.38</v>
      </c>
      <c r="D7" s="11" t="n">
        <v>154067.31</v>
      </c>
      <c r="E7" s="11" t="n">
        <v>120144.23</v>
      </c>
      <c r="F7" s="11" t="n">
        <v>86221.14999999999</v>
      </c>
    </row>
    <row r="8">
      <c r="A8" s="12" t="inlineStr">
        <is>
          <t>Closing Balance</t>
        </is>
      </c>
      <c r="B8" s="13" t="n">
        <v>1938461.54</v>
      </c>
      <c r="C8" s="13" t="n">
        <v>1615384.62</v>
      </c>
      <c r="D8" s="13" t="n">
        <v>1292307.69</v>
      </c>
      <c r="E8" s="13" t="n">
        <v>969230.77</v>
      </c>
      <c r="F8" s="13" t="n">
        <v>646153.85</v>
      </c>
    </row>
    <row r="9">
      <c r="A9" s="9" t="inlineStr">
        <is>
          <t>WORKING CAPITAL</t>
        </is>
      </c>
    </row>
    <row r="10">
      <c r="A10" s="10" t="inlineStr">
        <is>
          <t>WC Outstanding (revolving)</t>
        </is>
      </c>
      <c r="B10" s="11" t="n">
        <v>700000</v>
      </c>
      <c r="C10" s="11" t="n">
        <v>700000</v>
      </c>
      <c r="D10" s="11" t="n">
        <v>700000</v>
      </c>
      <c r="E10" s="11" t="n">
        <v>700000</v>
      </c>
      <c r="F10" s="11" t="n">
        <v>700000</v>
      </c>
    </row>
    <row r="11">
      <c r="A11" s="10" t="inlineStr">
        <is>
          <t>Interest on Working Capital</t>
        </is>
      </c>
      <c r="B11" s="11" t="n">
        <v>73500</v>
      </c>
      <c r="C11" s="11" t="n">
        <v>73500</v>
      </c>
      <c r="D11" s="11" t="n">
        <v>73500</v>
      </c>
      <c r="E11" s="11" t="n">
        <v>73500</v>
      </c>
      <c r="F11" s="11" t="n">
        <v>73500</v>
      </c>
    </row>
    <row r="12">
      <c r="A12" s="12" t="inlineStr">
        <is>
          <t>TOTAL INTEREST (TL + WC)</t>
        </is>
      </c>
      <c r="B12" s="13" t="n">
        <v>290466.35</v>
      </c>
      <c r="C12" s="13" t="n">
        <v>261490.38</v>
      </c>
      <c r="D12" s="13" t="n">
        <v>227567.31</v>
      </c>
      <c r="E12" s="13" t="n">
        <v>193644.23</v>
      </c>
      <c r="F12" s="13" t="n">
        <v>159721.15</v>
      </c>
    </row>
  </sheetData>
  <mergeCells count="3">
    <mergeCell ref="A1:F1"/>
    <mergeCell ref="A9:F9"/>
    <mergeCell ref="A4:F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Form VI - Fund Flow Statement</t>
        </is>
      </c>
    </row>
    <row r="2">
      <c r="A2" s="5" t="inlineStr">
        <is>
          <t>Particulars</t>
        </is>
      </c>
      <c r="B2" s="6" t="inlineStr">
        <is>
          <t>2025-2026</t>
        </is>
      </c>
      <c r="C2" s="6" t="inlineStr">
        <is>
          <t>2026-2027</t>
        </is>
      </c>
      <c r="D2" s="6" t="inlineStr">
        <is>
          <t>2027-2028</t>
        </is>
      </c>
      <c r="E2" s="6" t="inlineStr">
        <is>
          <t>2028-2029</t>
        </is>
      </c>
      <c r="F2" s="6" t="inlineStr">
        <is>
          <t>2029-2030</t>
        </is>
      </c>
    </row>
    <row r="3">
      <c r="A3" s="7" t="inlineStr"/>
      <c r="B3" s="8" t="inlineStr">
        <is>
          <t>(provisional)</t>
        </is>
      </c>
      <c r="C3" s="8" t="inlineStr">
        <is>
          <t>(estimated)</t>
        </is>
      </c>
      <c r="D3" s="8" t="inlineStr">
        <is>
          <t>(projected)</t>
        </is>
      </c>
      <c r="E3" s="8" t="inlineStr">
        <is>
          <t>(projected)</t>
        </is>
      </c>
      <c r="F3" s="8" t="inlineStr">
        <is>
          <t>(projected)</t>
        </is>
      </c>
    </row>
    <row r="4">
      <c r="A4" s="9" t="inlineStr">
        <is>
          <t>1. SOURCES</t>
        </is>
      </c>
    </row>
    <row r="5">
      <c r="A5" s="10" t="inlineStr">
        <is>
          <t xml:space="preserve">  (a) Net Profit</t>
        </is>
      </c>
      <c r="B5" s="11" t="n">
        <v>2367137.74</v>
      </c>
      <c r="C5" s="11" t="n">
        <v>2717505.29</v>
      </c>
      <c r="D5" s="11" t="n">
        <v>3103621.5</v>
      </c>
      <c r="E5" s="11" t="n">
        <v>3524516.27</v>
      </c>
      <c r="F5" s="11" t="n">
        <v>3984610.68</v>
      </c>
    </row>
    <row r="6">
      <c r="A6" s="10" t="inlineStr">
        <is>
          <t xml:space="preserve">  (b) Depreciation</t>
        </is>
      </c>
      <c r="B6" s="11" t="n">
        <v>197000</v>
      </c>
      <c r="C6" s="11" t="n">
        <v>175000</v>
      </c>
      <c r="D6" s="11" t="n">
        <v>156995</v>
      </c>
      <c r="E6" s="11" t="n">
        <v>141823.75</v>
      </c>
      <c r="F6" s="11" t="n">
        <v>128748.01</v>
      </c>
    </row>
    <row r="7">
      <c r="A7" s="10" t="inlineStr">
        <is>
          <t xml:space="preserve">  (c) Increase in Capital</t>
        </is>
      </c>
      <c r="B7" s="11" t="n">
        <v>0</v>
      </c>
      <c r="C7" s="11" t="n">
        <v>0</v>
      </c>
      <c r="D7" s="11" t="n">
        <v>0</v>
      </c>
      <c r="E7" s="11" t="n">
        <v>0</v>
      </c>
      <c r="F7" s="11" t="n">
        <v>0</v>
      </c>
    </row>
    <row r="8">
      <c r="A8" s="10" t="inlineStr">
        <is>
          <t xml:space="preserve">  (d) Increase in Term Liabilities</t>
        </is>
      </c>
      <c r="B8" s="11" t="n">
        <v>0</v>
      </c>
      <c r="C8" s="11" t="n">
        <v>0</v>
      </c>
      <c r="D8" s="11" t="n">
        <v>0</v>
      </c>
      <c r="E8" s="11" t="n">
        <v>0</v>
      </c>
      <c r="F8" s="11" t="n">
        <v>0</v>
      </c>
    </row>
    <row r="9">
      <c r="A9" s="12" t="inlineStr">
        <is>
          <t xml:space="preserve">  Total Sources</t>
        </is>
      </c>
      <c r="B9" s="13" t="n">
        <v>2564137.74</v>
      </c>
      <c r="C9" s="13" t="n">
        <v>2892505.29</v>
      </c>
      <c r="D9" s="13" t="n">
        <v>3260616.5</v>
      </c>
      <c r="E9" s="13" t="n">
        <v>3666340.02</v>
      </c>
      <c r="F9" s="13" t="n">
        <v>4113358.69</v>
      </c>
    </row>
    <row r="10">
      <c r="A10" s="9" t="inlineStr">
        <is>
          <t>2. USES</t>
        </is>
      </c>
    </row>
    <row r="11">
      <c r="A11" s="10" t="inlineStr">
        <is>
          <t xml:space="preserve">  (a) Purchase of Fixed Assets</t>
        </is>
      </c>
      <c r="B11" s="11" t="n">
        <v>0</v>
      </c>
      <c r="C11" s="11" t="n">
        <v>0</v>
      </c>
      <c r="D11" s="11" t="n">
        <v>0</v>
      </c>
      <c r="E11" s="11" t="n">
        <v>0</v>
      </c>
      <c r="F11" s="11" t="n">
        <v>0</v>
      </c>
    </row>
    <row r="12">
      <c r="A12" s="10" t="inlineStr">
        <is>
          <t xml:space="preserve">  (b) Repayment of Term Liabilities</t>
        </is>
      </c>
      <c r="B12" s="11" t="n">
        <v>161538.46</v>
      </c>
      <c r="C12" s="11" t="n">
        <v>323076.92</v>
      </c>
      <c r="D12" s="11" t="n">
        <v>323076.93</v>
      </c>
      <c r="E12" s="11" t="n">
        <v>323076.92</v>
      </c>
      <c r="F12" s="11" t="n">
        <v>323076.92</v>
      </c>
    </row>
    <row r="13">
      <c r="A13" s="12" t="inlineStr">
        <is>
          <t xml:space="preserve">  Total Uses</t>
        </is>
      </c>
      <c r="B13" s="13" t="n">
        <v>161538.46</v>
      </c>
      <c r="C13" s="13" t="n">
        <v>323076.92</v>
      </c>
      <c r="D13" s="13" t="n">
        <v>323076.93</v>
      </c>
      <c r="E13" s="13" t="n">
        <v>323076.92</v>
      </c>
      <c r="F13" s="13" t="n">
        <v>323076.92</v>
      </c>
    </row>
    <row r="14">
      <c r="A14" s="12" t="inlineStr">
        <is>
          <t>3. Long Term Surplus / (Deficit)</t>
        </is>
      </c>
      <c r="B14" s="13" t="n">
        <v>2402599.28</v>
      </c>
      <c r="C14" s="13" t="n">
        <v>2569428.37</v>
      </c>
      <c r="D14" s="13" t="n">
        <v>2937539.57</v>
      </c>
      <c r="E14" s="13" t="n">
        <v>3343263.1</v>
      </c>
      <c r="F14" s="13" t="n">
        <v>3790281.77</v>
      </c>
    </row>
    <row r="15">
      <c r="A15" s="10" t="inlineStr">
        <is>
          <t>4. Increase / (Decrease) in Current Assets</t>
        </is>
      </c>
      <c r="B15" s="11" t="n">
        <v>4645065.03</v>
      </c>
      <c r="C15" s="11" t="n">
        <v>2623674.95</v>
      </c>
      <c r="D15" s="11" t="n">
        <v>2997210.8</v>
      </c>
      <c r="E15" s="11" t="n">
        <v>3408901.46</v>
      </c>
      <c r="F15" s="11" t="n">
        <v>3862483.96</v>
      </c>
    </row>
    <row r="16">
      <c r="A16" s="10" t="inlineStr">
        <is>
          <t>5. Increase / (Decrease) in Current Liabilities</t>
        </is>
      </c>
      <c r="B16" s="11" t="n">
        <v>542465.75</v>
      </c>
      <c r="C16" s="11" t="n">
        <v>54246.58</v>
      </c>
      <c r="D16" s="11" t="n">
        <v>59671.23</v>
      </c>
      <c r="E16" s="11" t="n">
        <v>65638.36</v>
      </c>
      <c r="F16" s="11" t="n">
        <v>72202.19</v>
      </c>
    </row>
    <row r="17">
      <c r="A17" s="10" t="inlineStr">
        <is>
          <t>6. Increase / (Decrease) in Working Capital</t>
        </is>
      </c>
      <c r="B17" s="11" t="n">
        <v>4102599.28</v>
      </c>
      <c r="C17" s="11" t="n">
        <v>2569428.37</v>
      </c>
      <c r="D17" s="11" t="n">
        <v>2937539.57</v>
      </c>
      <c r="E17" s="11" t="n">
        <v>3343263.1</v>
      </c>
      <c r="F17" s="11" t="n">
        <v>3790281.77</v>
      </c>
    </row>
    <row r="18">
      <c r="A18" s="12" t="inlineStr">
        <is>
          <t>7. Net Surplus / (Deficit)</t>
        </is>
      </c>
      <c r="B18" s="13" t="n">
        <v>-1700000</v>
      </c>
      <c r="C18" s="13" t="n">
        <v>0</v>
      </c>
      <c r="D18" s="13" t="n">
        <v>0</v>
      </c>
      <c r="E18" s="13" t="n">
        <v>0</v>
      </c>
      <c r="F18" s="13" t="n">
        <v>0</v>
      </c>
    </row>
  </sheetData>
  <mergeCells count="3">
    <mergeCell ref="A1:F1"/>
    <mergeCell ref="A4:F4"/>
    <mergeCell ref="A10:F1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Form V - Cash Flow Statement</t>
        </is>
      </c>
    </row>
    <row r="2">
      <c r="A2" s="5" t="inlineStr">
        <is>
          <t>Particulars</t>
        </is>
      </c>
      <c r="B2" s="6" t="inlineStr">
        <is>
          <t>2025-2026</t>
        </is>
      </c>
      <c r="C2" s="6" t="inlineStr">
        <is>
          <t>2026-2027</t>
        </is>
      </c>
      <c r="D2" s="6" t="inlineStr">
        <is>
          <t>2027-2028</t>
        </is>
      </c>
      <c r="E2" s="6" t="inlineStr">
        <is>
          <t>2028-2029</t>
        </is>
      </c>
      <c r="F2" s="6" t="inlineStr">
        <is>
          <t>2029-2030</t>
        </is>
      </c>
    </row>
    <row r="3">
      <c r="A3" s="7" t="inlineStr"/>
      <c r="B3" s="8" t="inlineStr">
        <is>
          <t>(provisional)</t>
        </is>
      </c>
      <c r="C3" s="8" t="inlineStr">
        <is>
          <t>(estimated)</t>
        </is>
      </c>
      <c r="D3" s="8" t="inlineStr">
        <is>
          <t>(projected)</t>
        </is>
      </c>
      <c r="E3" s="8" t="inlineStr">
        <is>
          <t>(projected)</t>
        </is>
      </c>
      <c r="F3" s="8" t="inlineStr">
        <is>
          <t>(projected)</t>
        </is>
      </c>
    </row>
    <row r="4">
      <c r="A4" s="12" t="inlineStr">
        <is>
          <t>A. Operating Cash Flow</t>
        </is>
      </c>
      <c r="B4" s="13" t="n">
        <v>1021877.46</v>
      </c>
      <c r="C4" s="13" t="n">
        <v>2742943.65</v>
      </c>
      <c r="D4" s="13" t="n">
        <v>3095819.03</v>
      </c>
      <c r="E4" s="13" t="n">
        <v>3484901.64</v>
      </c>
      <c r="F4" s="13" t="n">
        <v>3913697.73</v>
      </c>
    </row>
    <row r="5">
      <c r="A5" s="10" t="inlineStr">
        <is>
          <t xml:space="preserve">   Working Capital Change</t>
        </is>
      </c>
      <c r="B5" s="11" t="n">
        <v>-1542260.28</v>
      </c>
      <c r="C5" s="11" t="n">
        <v>-149561.64</v>
      </c>
      <c r="D5" s="11" t="n">
        <v>-164797.47</v>
      </c>
      <c r="E5" s="11" t="n">
        <v>-181438.38</v>
      </c>
      <c r="F5" s="11" t="n">
        <v>-199660.96</v>
      </c>
    </row>
    <row r="6">
      <c r="A6" s="12" t="inlineStr">
        <is>
          <t>B. Investing Cash Flow</t>
        </is>
      </c>
      <c r="B6" s="13" t="n">
        <v>-0</v>
      </c>
      <c r="C6" s="13" t="n">
        <v>-0</v>
      </c>
      <c r="D6" s="13" t="n">
        <v>-0</v>
      </c>
      <c r="E6" s="13" t="n">
        <v>-0</v>
      </c>
      <c r="F6" s="13" t="n">
        <v>0</v>
      </c>
    </row>
    <row r="7">
      <c r="A7" s="12" t="inlineStr">
        <is>
          <t>C. Financing Cash Flow</t>
        </is>
      </c>
      <c r="B7" s="13" t="n">
        <v>-161538.46</v>
      </c>
      <c r="C7" s="13" t="n">
        <v>-323076.92</v>
      </c>
      <c r="D7" s="13" t="n">
        <v>-323076.93</v>
      </c>
      <c r="E7" s="13" t="n">
        <v>-323076.92</v>
      </c>
      <c r="F7" s="13" t="n">
        <v>-323076.92</v>
      </c>
    </row>
    <row r="8">
      <c r="A8" s="12" t="inlineStr">
        <is>
          <t>Net Increase in Cash (A+B+C)</t>
        </is>
      </c>
      <c r="B8" s="13" t="n">
        <v>860339</v>
      </c>
      <c r="C8" s="13" t="n">
        <v>2419866.73</v>
      </c>
      <c r="D8" s="13" t="n">
        <v>2772742.1</v>
      </c>
      <c r="E8" s="13" t="n">
        <v>3161824.72</v>
      </c>
      <c r="F8" s="13" t="n">
        <v>3590620.81</v>
      </c>
    </row>
    <row r="9">
      <c r="A9" s="10" t="inlineStr">
        <is>
          <t>Opening Cash &amp; Bank</t>
        </is>
      </c>
      <c r="B9" s="11" t="n">
        <v>1700000</v>
      </c>
      <c r="C9" s="11" t="n">
        <v>2560339.01</v>
      </c>
      <c r="D9" s="11" t="n">
        <v>4980205.73</v>
      </c>
      <c r="E9" s="11" t="n">
        <v>7752947.84</v>
      </c>
      <c r="F9" s="11" t="n">
        <v>10914772.54</v>
      </c>
    </row>
    <row r="10">
      <c r="A10" s="12" t="inlineStr">
        <is>
          <t>Closing Cash &amp; Bank (= Balance Sheet)</t>
        </is>
      </c>
      <c r="B10" s="13" t="n">
        <v>2560339.01</v>
      </c>
      <c r="C10" s="13" t="n">
        <v>4980205.73</v>
      </c>
      <c r="D10" s="13" t="n">
        <v>7752947.84</v>
      </c>
      <c r="E10" s="13" t="n">
        <v>10914772.54</v>
      </c>
      <c r="F10" s="13" t="n">
        <v>14505393.36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Debt Service Coverage Ratio (DSCR)</t>
        </is>
      </c>
    </row>
    <row r="2">
      <c r="A2" s="5" t="inlineStr">
        <is>
          <t>Particulars</t>
        </is>
      </c>
      <c r="B2" s="6" t="inlineStr">
        <is>
          <t>2025-2026</t>
        </is>
      </c>
      <c r="C2" s="6" t="inlineStr">
        <is>
          <t>2026-2027</t>
        </is>
      </c>
      <c r="D2" s="6" t="inlineStr">
        <is>
          <t>2027-2028</t>
        </is>
      </c>
      <c r="E2" s="6" t="inlineStr">
        <is>
          <t>2028-2029</t>
        </is>
      </c>
      <c r="F2" s="6" t="inlineStr">
        <is>
          <t>2029-2030</t>
        </is>
      </c>
    </row>
    <row r="3">
      <c r="A3" s="7" t="inlineStr"/>
      <c r="B3" s="8" t="inlineStr">
        <is>
          <t>(provisional)</t>
        </is>
      </c>
      <c r="C3" s="8" t="inlineStr">
        <is>
          <t>(estimated)</t>
        </is>
      </c>
      <c r="D3" s="8" t="inlineStr">
        <is>
          <t>(projected)</t>
        </is>
      </c>
      <c r="E3" s="8" t="inlineStr">
        <is>
          <t>(projected)</t>
        </is>
      </c>
      <c r="F3" s="8" t="inlineStr">
        <is>
          <t>(projected)</t>
        </is>
      </c>
    </row>
    <row r="4">
      <c r="A4" s="9" t="inlineStr">
        <is>
          <t>A. CASH ACCRUALS (Sources)</t>
        </is>
      </c>
    </row>
    <row r="5">
      <c r="A5" s="10" t="inlineStr">
        <is>
          <t>Net Profit After Tax</t>
        </is>
      </c>
      <c r="B5" s="11" t="n">
        <v>2367137.74</v>
      </c>
      <c r="C5" s="11" t="n">
        <v>2717505.29</v>
      </c>
      <c r="D5" s="11" t="n">
        <v>3103621.5</v>
      </c>
      <c r="E5" s="11" t="n">
        <v>3524516.27</v>
      </c>
      <c r="F5" s="11" t="n">
        <v>3984610.68</v>
      </c>
    </row>
    <row r="6">
      <c r="A6" s="10" t="inlineStr">
        <is>
          <t>Add: Depreciation</t>
        </is>
      </c>
      <c r="B6" s="11" t="n">
        <v>197000</v>
      </c>
      <c r="C6" s="11" t="n">
        <v>175000</v>
      </c>
      <c r="D6" s="11" t="n">
        <v>156995</v>
      </c>
      <c r="E6" s="11" t="n">
        <v>141823.75</v>
      </c>
      <c r="F6" s="11" t="n">
        <v>128748.01</v>
      </c>
    </row>
    <row r="7">
      <c r="A7" s="10" t="inlineStr">
        <is>
          <t>Add: Interest on Term Loan</t>
        </is>
      </c>
      <c r="B7" s="11" t="n">
        <v>216966.35</v>
      </c>
      <c r="C7" s="11" t="n">
        <v>187990.38</v>
      </c>
      <c r="D7" s="11" t="n">
        <v>154067.31</v>
      </c>
      <c r="E7" s="11" t="n">
        <v>120144.23</v>
      </c>
      <c r="F7" s="11" t="n">
        <v>86221.14999999999</v>
      </c>
    </row>
    <row r="8">
      <c r="A8" s="12" t="inlineStr">
        <is>
          <t>Total (A)</t>
        </is>
      </c>
      <c r="B8" s="13" t="n">
        <v>2781104.09</v>
      </c>
      <c r="C8" s="13" t="n">
        <v>3080495.67</v>
      </c>
      <c r="D8" s="13" t="n">
        <v>3414683.81</v>
      </c>
      <c r="E8" s="13" t="n">
        <v>3786484.25</v>
      </c>
      <c r="F8" s="13" t="n">
        <v>4199579.84</v>
      </c>
    </row>
    <row r="9">
      <c r="A9" s="9" t="inlineStr">
        <is>
          <t>B. DEBT OBLIGATIONS (Uses)</t>
        </is>
      </c>
    </row>
    <row r="10">
      <c r="A10" s="10" t="inlineStr">
        <is>
          <t>Interest on Term Loan</t>
        </is>
      </c>
      <c r="B10" s="11" t="n">
        <v>216966.35</v>
      </c>
      <c r="C10" s="11" t="n">
        <v>187990.38</v>
      </c>
      <c r="D10" s="11" t="n">
        <v>154067.31</v>
      </c>
      <c r="E10" s="11" t="n">
        <v>120144.23</v>
      </c>
      <c r="F10" s="11" t="n">
        <v>86221.14999999999</v>
      </c>
    </row>
    <row r="11">
      <c r="A11" s="10" t="inlineStr">
        <is>
          <t>Repayment of Term Loan</t>
        </is>
      </c>
      <c r="B11" s="11" t="n">
        <v>161538.46</v>
      </c>
      <c r="C11" s="11" t="n">
        <v>323076.92</v>
      </c>
      <c r="D11" s="11" t="n">
        <v>323076.92</v>
      </c>
      <c r="E11" s="11" t="n">
        <v>323076.92</v>
      </c>
      <c r="F11" s="11" t="n">
        <v>323076.92</v>
      </c>
    </row>
    <row r="12">
      <c r="A12" s="12" t="inlineStr">
        <is>
          <t>Total (B)</t>
        </is>
      </c>
      <c r="B12" s="13" t="n">
        <v>378504.81</v>
      </c>
      <c r="C12" s="13" t="n">
        <v>511067.3</v>
      </c>
      <c r="D12" s="13" t="n">
        <v>477144.23</v>
      </c>
      <c r="E12" s="13" t="n">
        <v>443221.15</v>
      </c>
      <c r="F12" s="13" t="n">
        <v>409298.0699999999</v>
      </c>
    </row>
    <row r="13">
      <c r="A13" s="12" t="inlineStr">
        <is>
          <t>DSCR (A / B)</t>
        </is>
      </c>
      <c r="B13" s="15" t="n">
        <v>7.35</v>
      </c>
      <c r="C13" s="15" t="n">
        <v>6.03</v>
      </c>
      <c r="D13" s="15" t="n">
        <v>7.16</v>
      </c>
      <c r="E13" s="15" t="n">
        <v>8.539999999999999</v>
      </c>
      <c r="F13" s="15" t="n">
        <v>10.26</v>
      </c>
    </row>
  </sheetData>
  <mergeCells count="3">
    <mergeCell ref="A1:F1"/>
    <mergeCell ref="A9:F9"/>
    <mergeCell ref="A4:F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Form VII - Breakeven Analysis</t>
        </is>
      </c>
    </row>
    <row r="2">
      <c r="A2" s="5" t="inlineStr">
        <is>
          <t>Particulars</t>
        </is>
      </c>
      <c r="B2" s="6" t="inlineStr">
        <is>
          <t>2025-2026</t>
        </is>
      </c>
      <c r="C2" s="6" t="inlineStr">
        <is>
          <t>2026-2027</t>
        </is>
      </c>
      <c r="D2" s="6" t="inlineStr">
        <is>
          <t>2027-2028</t>
        </is>
      </c>
      <c r="E2" s="6" t="inlineStr">
        <is>
          <t>2028-2029</t>
        </is>
      </c>
      <c r="F2" s="6" t="inlineStr">
        <is>
          <t>2029-2030</t>
        </is>
      </c>
    </row>
    <row r="3">
      <c r="A3" s="7" t="inlineStr"/>
      <c r="B3" s="8" t="inlineStr">
        <is>
          <t>(provisional)</t>
        </is>
      </c>
      <c r="C3" s="8" t="inlineStr">
        <is>
          <t>(estimated)</t>
        </is>
      </c>
      <c r="D3" s="8" t="inlineStr">
        <is>
          <t>(projected)</t>
        </is>
      </c>
      <c r="E3" s="8" t="inlineStr">
        <is>
          <t>(projected)</t>
        </is>
      </c>
      <c r="F3" s="8" t="inlineStr">
        <is>
          <t>(projected)</t>
        </is>
      </c>
    </row>
    <row r="4">
      <c r="A4" s="12" t="inlineStr">
        <is>
          <t>1. Net Sales</t>
        </is>
      </c>
      <c r="B4" s="13" t="n">
        <v>12000000</v>
      </c>
      <c r="C4" s="13" t="n">
        <v>13200000</v>
      </c>
      <c r="D4" s="13" t="n">
        <v>14520000</v>
      </c>
      <c r="E4" s="13" t="n">
        <v>15972000</v>
      </c>
      <c r="F4" s="13" t="n">
        <v>17569200</v>
      </c>
    </row>
    <row r="5">
      <c r="A5" s="10" t="inlineStr">
        <is>
          <t>2. Variable Costs</t>
        </is>
      </c>
      <c r="B5" s="11" t="n">
        <v>6600000</v>
      </c>
      <c r="C5" s="11" t="n">
        <v>7260000</v>
      </c>
      <c r="D5" s="11" t="n">
        <v>7986000</v>
      </c>
      <c r="E5" s="11" t="n">
        <v>8784600</v>
      </c>
      <c r="F5" s="11" t="n">
        <v>9663060</v>
      </c>
    </row>
    <row r="6">
      <c r="A6" s="12" t="inlineStr">
        <is>
          <t>3. Contribution (1 - 2)</t>
        </is>
      </c>
      <c r="B6" s="13" t="n">
        <v>5400000</v>
      </c>
      <c r="C6" s="13" t="n">
        <v>5940000</v>
      </c>
      <c r="D6" s="13" t="n">
        <v>6534000</v>
      </c>
      <c r="E6" s="13" t="n">
        <v>7187400</v>
      </c>
      <c r="F6" s="13" t="n">
        <v>7906140</v>
      </c>
    </row>
    <row r="7">
      <c r="A7" s="10" t="inlineStr">
        <is>
          <t xml:space="preserve">   Contribution (% of Sales)</t>
        </is>
      </c>
      <c r="B7" s="14" t="n">
        <v>45</v>
      </c>
      <c r="C7" s="14" t="n">
        <v>45</v>
      </c>
      <c r="D7" s="14" t="n">
        <v>45</v>
      </c>
      <c r="E7" s="14" t="n">
        <v>45</v>
      </c>
      <c r="F7" s="14" t="n">
        <v>45</v>
      </c>
    </row>
    <row r="8">
      <c r="A8" s="10" t="inlineStr">
        <is>
          <t>4. Fixed Costs</t>
        </is>
      </c>
      <c r="B8" s="11" t="n">
        <v>1925000</v>
      </c>
      <c r="C8" s="11" t="n">
        <v>2029000</v>
      </c>
      <c r="D8" s="11" t="n">
        <v>2146463</v>
      </c>
      <c r="E8" s="11" t="n">
        <v>2276954.59</v>
      </c>
      <c r="F8" s="11" t="n">
        <v>2420519.99</v>
      </c>
    </row>
    <row r="9">
      <c r="A9" s="12" t="inlineStr">
        <is>
          <t>5. Breakeven Point (Sales Value)</t>
        </is>
      </c>
      <c r="B9" s="13" t="n">
        <v>4277777.78</v>
      </c>
      <c r="C9" s="13" t="n">
        <v>4508888.89</v>
      </c>
      <c r="D9" s="13" t="n">
        <v>4769917.78</v>
      </c>
      <c r="E9" s="13" t="n">
        <v>5059899.09</v>
      </c>
      <c r="F9" s="13" t="n">
        <v>5378933.31</v>
      </c>
    </row>
    <row r="10">
      <c r="A10" s="10" t="inlineStr">
        <is>
          <t>6. Breakeven % (on Net Sales)</t>
        </is>
      </c>
      <c r="B10" s="14" t="n">
        <v>35.65</v>
      </c>
      <c r="C10" s="14" t="n">
        <v>34.16</v>
      </c>
      <c r="D10" s="14" t="n">
        <v>32.85</v>
      </c>
      <c r="E10" s="14" t="n">
        <v>31.68</v>
      </c>
      <c r="F10" s="14" t="n">
        <v>30.62</v>
      </c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2" customHeight="1">
      <c r="A1" s="1" t="inlineStr">
        <is>
          <t>Sensitivity Analysis</t>
        </is>
      </c>
    </row>
    <row r="2">
      <c r="A2" s="5" t="inlineStr">
        <is>
          <t>Particulars</t>
        </is>
      </c>
      <c r="B2" s="6" t="inlineStr">
        <is>
          <t>2025-2026</t>
        </is>
      </c>
      <c r="C2" s="6" t="inlineStr">
        <is>
          <t>2026-2027</t>
        </is>
      </c>
      <c r="D2" s="6" t="inlineStr">
        <is>
          <t>2027-2028</t>
        </is>
      </c>
      <c r="E2" s="6" t="inlineStr">
        <is>
          <t>2028-2029</t>
        </is>
      </c>
      <c r="F2" s="6" t="inlineStr">
        <is>
          <t>2029-2030</t>
        </is>
      </c>
    </row>
    <row r="3">
      <c r="A3" s="7" t="inlineStr"/>
      <c r="B3" s="8" t="inlineStr">
        <is>
          <t>(provisional)</t>
        </is>
      </c>
      <c r="C3" s="8" t="inlineStr">
        <is>
          <t>(estimated)</t>
        </is>
      </c>
      <c r="D3" s="8" t="inlineStr">
        <is>
          <t>(projected)</t>
        </is>
      </c>
      <c r="E3" s="8" t="inlineStr">
        <is>
          <t>(projected)</t>
        </is>
      </c>
      <c r="F3" s="8" t="inlineStr">
        <is>
          <t>(projected)</t>
        </is>
      </c>
    </row>
    <row r="4">
      <c r="A4" s="9" t="inlineStr">
        <is>
          <t>1. BASE CASE (PROJECTIONS)</t>
        </is>
      </c>
    </row>
    <row r="5">
      <c r="A5" s="10" t="inlineStr">
        <is>
          <t xml:space="preserve">  Net Sales</t>
        </is>
      </c>
      <c r="B5" s="11" t="n">
        <v>12000000</v>
      </c>
      <c r="C5" s="11" t="n">
        <v>13200000</v>
      </c>
      <c r="D5" s="11" t="n">
        <v>14520000</v>
      </c>
      <c r="E5" s="11" t="n">
        <v>15972000</v>
      </c>
      <c r="F5" s="11" t="n">
        <v>17569200</v>
      </c>
    </row>
    <row r="6">
      <c r="A6" s="10" t="inlineStr">
        <is>
          <t xml:space="preserve">  Net Profit After Tax</t>
        </is>
      </c>
      <c r="B6" s="11" t="n">
        <v>2388400.24</v>
      </c>
      <c r="C6" s="11" t="n">
        <v>2737132.21</v>
      </c>
      <c r="D6" s="11" t="n">
        <v>3119977.27</v>
      </c>
      <c r="E6" s="11" t="n">
        <v>3537600.88</v>
      </c>
      <c r="F6" s="11" t="n">
        <v>3994424.15</v>
      </c>
    </row>
    <row r="7">
      <c r="A7" s="10" t="inlineStr">
        <is>
          <t xml:space="preserve">  DSCR</t>
        </is>
      </c>
      <c r="B7" s="14" t="n">
        <v>7.4</v>
      </c>
      <c r="C7" s="14" t="n">
        <v>6.07</v>
      </c>
      <c r="D7" s="14" t="n">
        <v>7.19</v>
      </c>
      <c r="E7" s="14" t="n">
        <v>8.57</v>
      </c>
      <c r="F7" s="14" t="n">
        <v>10.28</v>
      </c>
    </row>
    <row r="8">
      <c r="A8" s="9" t="inlineStr">
        <is>
          <t>2. SALES DECREASE BY 10%</t>
        </is>
      </c>
    </row>
    <row r="9">
      <c r="A9" s="10" t="inlineStr">
        <is>
          <t xml:space="preserve">  Net Sales</t>
        </is>
      </c>
      <c r="B9" s="11" t="n">
        <v>10800000</v>
      </c>
      <c r="C9" s="11" t="n">
        <v>11880000</v>
      </c>
      <c r="D9" s="11" t="n">
        <v>13068000</v>
      </c>
      <c r="E9" s="11" t="n">
        <v>14374800</v>
      </c>
      <c r="F9" s="11" t="n">
        <v>15812280</v>
      </c>
    </row>
    <row r="10">
      <c r="A10" s="10" t="inlineStr">
        <is>
          <t xml:space="preserve">  Net Profit After Tax</t>
        </is>
      </c>
      <c r="B10" s="11" t="n">
        <v>1983400.24</v>
      </c>
      <c r="C10" s="11" t="n">
        <v>2291632.21</v>
      </c>
      <c r="D10" s="11" t="n">
        <v>2629927.27</v>
      </c>
      <c r="E10" s="11" t="n">
        <v>2998545.89</v>
      </c>
      <c r="F10" s="11" t="n">
        <v>3401463.65</v>
      </c>
    </row>
    <row r="11">
      <c r="A11" s="10" t="inlineStr">
        <is>
          <t xml:space="preserve">  DSCR</t>
        </is>
      </c>
      <c r="B11" s="14" t="n">
        <v>6.33</v>
      </c>
      <c r="C11" s="14" t="n">
        <v>5.19</v>
      </c>
      <c r="D11" s="14" t="n">
        <v>6.16</v>
      </c>
      <c r="E11" s="14" t="n">
        <v>7.36</v>
      </c>
      <c r="F11" s="14" t="n">
        <v>8.84</v>
      </c>
    </row>
    <row r="12">
      <c r="A12" s="9" t="inlineStr">
        <is>
          <t>3. RAW MATERIAL / CONSUMABLE COST +10%</t>
        </is>
      </c>
    </row>
    <row r="13">
      <c r="A13" s="10" t="inlineStr">
        <is>
          <t xml:space="preserve">  Net Sales</t>
        </is>
      </c>
      <c r="B13" s="11" t="n">
        <v>12000000</v>
      </c>
      <c r="C13" s="11" t="n">
        <v>13200000</v>
      </c>
      <c r="D13" s="11" t="n">
        <v>14520000</v>
      </c>
      <c r="E13" s="11" t="n">
        <v>15972000</v>
      </c>
      <c r="F13" s="11" t="n">
        <v>17569200</v>
      </c>
    </row>
    <row r="14">
      <c r="A14" s="10" t="inlineStr">
        <is>
          <t xml:space="preserve">  Net Profit After Tax</t>
        </is>
      </c>
      <c r="B14" s="11" t="n">
        <v>1893400.24</v>
      </c>
      <c r="C14" s="11" t="n">
        <v>2192632.21</v>
      </c>
      <c r="D14" s="11" t="n">
        <v>2521027.27</v>
      </c>
      <c r="E14" s="11" t="n">
        <v>2878755.89</v>
      </c>
      <c r="F14" s="11" t="n">
        <v>3269694.65</v>
      </c>
    </row>
    <row r="15">
      <c r="A15" s="10" t="inlineStr">
        <is>
          <t xml:space="preserve">  DSCR</t>
        </is>
      </c>
      <c r="B15" s="14" t="n">
        <v>6.1</v>
      </c>
      <c r="C15" s="14" t="n">
        <v>5</v>
      </c>
      <c r="D15" s="14" t="n">
        <v>5.94</v>
      </c>
      <c r="E15" s="14" t="n">
        <v>7.09</v>
      </c>
      <c r="F15" s="14" t="n">
        <v>8.51</v>
      </c>
    </row>
    <row r="16">
      <c r="A16" s="9" t="inlineStr">
        <is>
          <t>4. INTEREST RATE INCREASE BY 2%</t>
        </is>
      </c>
    </row>
    <row r="17">
      <c r="A17" s="10" t="inlineStr">
        <is>
          <t xml:space="preserve">  Net Sales</t>
        </is>
      </c>
      <c r="B17" s="11" t="n">
        <v>12000000</v>
      </c>
      <c r="C17" s="11" t="n">
        <v>13200000</v>
      </c>
      <c r="D17" s="11" t="n">
        <v>14520000</v>
      </c>
      <c r="E17" s="11" t="n">
        <v>15972000</v>
      </c>
      <c r="F17" s="11" t="n">
        <v>17569200</v>
      </c>
    </row>
    <row r="18">
      <c r="A18" s="10" t="inlineStr">
        <is>
          <t xml:space="preserve">  Net Profit After Tax</t>
        </is>
      </c>
      <c r="B18" s="11" t="n">
        <v>2346905.04</v>
      </c>
      <c r="C18" s="11" t="n">
        <v>2699776.45</v>
      </c>
      <c r="D18" s="11" t="n">
        <v>3087467.65</v>
      </c>
      <c r="E18" s="11" t="n">
        <v>3509937.42</v>
      </c>
      <c r="F18" s="11" t="n">
        <v>3971606.84</v>
      </c>
    </row>
    <row r="19">
      <c r="A19" s="10" t="inlineStr">
        <is>
          <t xml:space="preserve">  DSCR</t>
        </is>
      </c>
      <c r="B19" s="14" t="n">
        <v>6.67</v>
      </c>
      <c r="C19" s="14" t="n">
        <v>5.67</v>
      </c>
      <c r="D19" s="14" t="n">
        <v>6.77</v>
      </c>
      <c r="E19" s="14" t="n">
        <v>8.140000000000001</v>
      </c>
      <c r="F19" s="14" t="n">
        <v>9.869999999999999</v>
      </c>
    </row>
  </sheetData>
  <mergeCells count="5">
    <mergeCell ref="A16:F16"/>
    <mergeCell ref="A1:F1"/>
    <mergeCell ref="A8:F8"/>
    <mergeCell ref="A12:F12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2026-07-11T10:56:23Z</dcterms:created>
  <dcterms:modified xsi:type="dcterms:W3CDTF">2026-07-11T10:56:23Z</dcterms:modified>
</cp:coreProperties>
</file>