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rm I - Borrower" sheetId="2" state="visible" r:id="rId2"/>
    <sheet name="Promoter Net Worth" sheetId="3" state="visible" r:id="rId3"/>
    <sheet name="CA Observations" sheetId="4" state="visible" r:id="rId4"/>
    <sheet name="Credit Appraisal Note" sheetId="5" state="visible" r:id="rId5"/>
    <sheet name="Operating Statement" sheetId="6" state="visible" r:id="rId6"/>
    <sheet name="Balance Sheet" sheetId="7" state="visible" r:id="rId7"/>
    <sheet name="Depreciation Chart" sheetId="8" state="visible" r:id="rId8"/>
    <sheet name="Comparative Statement" sheetId="9" state="visible" r:id="rId9"/>
    <sheet name="Ratio Analysis" sheetId="10" state="visible" r:id="rId10"/>
    <sheet name="Turnover Method" sheetId="11" state="visible" r:id="rId11"/>
    <sheet name="MPBF" sheetId="12" state="visible" r:id="rId12"/>
    <sheet name="Assessed Bank Finance" sheetId="13" state="visible" r:id="rId13"/>
    <sheet name="Security &amp; Collateral" sheetId="14" state="visible" r:id="rId14"/>
    <sheet name="TL Repayment Schedule" sheetId="15" state="visible" r:id="rId15"/>
    <sheet name="Fund Flow Statement" sheetId="16" state="visible" r:id="rId16"/>
    <sheet name="Cash Flow" sheetId="17" state="visible" r:id="rId17"/>
    <sheet name="DSCR Analysis" sheetId="18" state="visible" r:id="rId18"/>
    <sheet name="Breakeven Analysis" sheetId="19" state="visible" r:id="rId19"/>
    <sheet name="Sensitivity Analysi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"/>
    </font>
    <font>
      <b val="1"/>
      <sz val="9"/>
    </font>
    <font>
      <i val="1"/>
      <color rgb="00475569"/>
      <sz val="8"/>
    </font>
    <font>
      <b val="1"/>
      <color rgb="000D9488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3" fontId="6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3" fontId="3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2" customHeight="1">
      <c r="A1" s="1" t="inlineStr">
        <is>
          <t>Summary</t>
        </is>
      </c>
    </row>
    <row r="2">
      <c r="A2" s="2" t="inlineStr">
        <is>
          <t>Field</t>
        </is>
      </c>
      <c r="B2" s="2" t="inlineStr">
        <is>
          <t>Details</t>
        </is>
      </c>
    </row>
    <row r="3">
      <c r="A3" s="3" t="inlineStr">
        <is>
          <t>Firm Name</t>
        </is>
      </c>
      <c r="B3" s="4" t="inlineStr">
        <is>
          <t>Deshmukh Polymers Pvt Ltd</t>
        </is>
      </c>
    </row>
    <row r="4">
      <c r="A4" s="3" t="inlineStr">
        <is>
          <t>Promoter</t>
        </is>
      </c>
      <c r="B4" s="4" t="inlineStr">
        <is>
          <t>Anil Deshmukh</t>
        </is>
      </c>
    </row>
    <row r="5">
      <c r="A5" s="3" t="inlineStr">
        <is>
          <t>Constitution</t>
        </is>
      </c>
      <c r="B5" s="4" t="inlineStr">
        <is>
          <t>Pvt Ltd</t>
        </is>
      </c>
    </row>
    <row r="6">
      <c r="A6" s="3" t="inlineStr">
        <is>
          <t>Activity / Industry</t>
        </is>
      </c>
      <c r="B6" s="4" t="inlineStr">
        <is>
          <t>Manufacturing</t>
        </is>
      </c>
    </row>
    <row r="7">
      <c r="A7" s="3" t="inlineStr">
        <is>
          <t>PAN No.</t>
        </is>
      </c>
      <c r="B7" s="4" t="inlineStr">
        <is>
          <t>AXIPD1234K</t>
        </is>
      </c>
    </row>
    <row r="8">
      <c r="A8" s="3" t="inlineStr">
        <is>
          <t>Commencement Date</t>
        </is>
      </c>
      <c r="B8" s="4" t="inlineStr">
        <is>
          <t>2025-04-01</t>
        </is>
      </c>
    </row>
    <row r="9">
      <c r="A9" s="3" t="inlineStr">
        <is>
          <t>Project Cost</t>
        </is>
      </c>
      <c r="B9" s="4" t="n">
        <v>3630000</v>
      </c>
    </row>
    <row r="10">
      <c r="A10" s="3" t="inlineStr">
        <is>
          <t>Means of Finance</t>
        </is>
      </c>
      <c r="B10" s="4" t="n">
        <v>3630000</v>
      </c>
    </row>
    <row r="11">
      <c r="A11" s="3" t="inlineStr">
        <is>
          <t>Term Loan</t>
        </is>
      </c>
      <c r="B11" s="4" t="n">
        <v>2105400</v>
      </c>
    </row>
    <row r="12">
      <c r="A12" s="3" t="inlineStr">
        <is>
          <t>Interest Rate (%)</t>
        </is>
      </c>
      <c r="B12" s="4" t="n">
        <v>10.5</v>
      </c>
    </row>
    <row r="13">
      <c r="A13" s="3" t="inlineStr">
        <is>
          <t>Tenure (months)</t>
        </is>
      </c>
      <c r="B13" s="4" t="n">
        <v>84</v>
      </c>
    </row>
    <row r="14">
      <c r="A14" s="3" t="inlineStr">
        <is>
          <t>Moratorium (months)</t>
        </is>
      </c>
      <c r="B14" s="4" t="n">
        <v>6</v>
      </c>
    </row>
    <row r="15">
      <c r="A15" s="3" t="inlineStr">
        <is>
          <t>Existing Business</t>
        </is>
      </c>
      <c r="B15" s="4" t="inlineStr">
        <is>
          <t>No</t>
        </is>
      </c>
    </row>
    <row r="16">
      <c r="A16" s="3" t="inlineStr">
        <is>
          <t>Average DSCR</t>
        </is>
      </c>
      <c r="B16" s="4" t="n">
        <v>2.46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2" customHeight="1">
      <c r="A1" s="1" t="inlineStr">
        <is>
          <t>Form I - Particulars of Borrower</t>
        </is>
      </c>
    </row>
    <row r="2">
      <c r="A2" s="2" t="inlineStr">
        <is>
          <t>Field</t>
        </is>
      </c>
      <c r="B2" s="2" t="inlineStr">
        <is>
          <t>Details</t>
        </is>
      </c>
    </row>
    <row r="3">
      <c r="A3" s="3" t="inlineStr">
        <is>
          <t>A. APPLICANT / PROMOTER</t>
        </is>
      </c>
      <c r="B3" s="4" t="inlineStr"/>
    </row>
    <row r="4">
      <c r="A4" s="3" t="inlineStr">
        <is>
          <t>Name</t>
        </is>
      </c>
      <c r="B4" s="4" t="inlineStr">
        <is>
          <t>Anil Deshmukh</t>
        </is>
      </c>
    </row>
    <row r="5">
      <c r="A5" s="3" t="inlineStr">
        <is>
          <t>Father / Spouse Name</t>
        </is>
      </c>
      <c r="B5" s="4" t="inlineStr">
        <is>
          <t>Vasant Deshmukh</t>
        </is>
      </c>
    </row>
    <row r="6">
      <c r="A6" s="3" t="inlineStr">
        <is>
          <t>Date of Birth</t>
        </is>
      </c>
      <c r="B6" s="4" t="inlineStr">
        <is>
          <t>1985-06-15</t>
        </is>
      </c>
    </row>
    <row r="7">
      <c r="A7" s="3" t="inlineStr">
        <is>
          <t>PAN</t>
        </is>
      </c>
      <c r="B7" s="4" t="inlineStr">
        <is>
          <t>AXIPD1234K</t>
        </is>
      </c>
    </row>
    <row r="8">
      <c r="A8" s="3" t="inlineStr">
        <is>
          <t>Aadhaar</t>
        </is>
      </c>
      <c r="B8" s="4" t="inlineStr">
        <is>
          <t>2233 4455 6677</t>
        </is>
      </c>
    </row>
    <row r="9">
      <c r="A9" s="3" t="inlineStr">
        <is>
          <t>Mobile</t>
        </is>
      </c>
      <c r="B9" s="4" t="inlineStr">
        <is>
          <t>9822011223</t>
        </is>
      </c>
    </row>
    <row r="10">
      <c r="A10" s="3" t="inlineStr">
        <is>
          <t>Email</t>
        </is>
      </c>
      <c r="B10" s="4" t="inlineStr">
        <is>
          <t>anil@demo.eazybizy.in</t>
        </is>
      </c>
    </row>
    <row r="11">
      <c r="A11" s="3" t="inlineStr">
        <is>
          <t>Address</t>
        </is>
      </c>
      <c r="B11" s="4" t="inlineStr">
        <is>
          <t>MIDC Chakan, Pune, Maharashtra, 411001</t>
        </is>
      </c>
    </row>
    <row r="12">
      <c r="A12" s="3" t="inlineStr">
        <is>
          <t>Education</t>
        </is>
      </c>
      <c r="B12" s="4" t="inlineStr">
        <is>
          <t>Graduate / Diploma</t>
        </is>
      </c>
    </row>
    <row r="13">
      <c r="A13" s="3" t="inlineStr">
        <is>
          <t>Experience (years)</t>
        </is>
      </c>
      <c r="B13" s="4" t="n">
        <v>14</v>
      </c>
    </row>
    <row r="14">
      <c r="A14" s="3" t="inlineStr">
        <is>
          <t>B. BUSINESS / UNIT</t>
        </is>
      </c>
      <c r="B14" s="4" t="inlineStr"/>
    </row>
    <row r="15">
      <c r="A15" s="3" t="inlineStr">
        <is>
          <t>Entity Name</t>
        </is>
      </c>
      <c r="B15" s="4" t="inlineStr">
        <is>
          <t>Deshmukh Polymers Pvt Ltd</t>
        </is>
      </c>
    </row>
    <row r="16">
      <c r="A16" s="3" t="inlineStr">
        <is>
          <t>Constitution</t>
        </is>
      </c>
      <c r="B16" s="4" t="inlineStr">
        <is>
          <t>Pvt Ltd</t>
        </is>
      </c>
    </row>
    <row r="17">
      <c r="A17" s="3" t="inlineStr">
        <is>
          <t>Activity / Industry</t>
        </is>
      </c>
      <c r="B17" s="4" t="inlineStr">
        <is>
          <t>Manufacturing</t>
        </is>
      </c>
    </row>
    <row r="18">
      <c r="A18" s="3" t="inlineStr">
        <is>
          <t>GST Number</t>
        </is>
      </c>
      <c r="B18" s="4" t="inlineStr">
        <is>
          <t>27ABCDE1234K1Z5</t>
        </is>
      </c>
    </row>
    <row r="19">
      <c r="A19" s="3" t="inlineStr">
        <is>
          <t>Udyam Registration</t>
        </is>
      </c>
      <c r="B19" s="4" t="inlineStr">
        <is>
          <t>UDYAM-MH-26-0045678</t>
        </is>
      </c>
    </row>
    <row r="20">
      <c r="A20" s="3" t="inlineStr">
        <is>
          <t>IEC (Export)</t>
        </is>
      </c>
      <c r="B20" s="4" t="inlineStr">
        <is>
          <t>ABCDE1234K</t>
        </is>
      </c>
    </row>
    <row r="21">
      <c r="A21" s="3" t="inlineStr">
        <is>
          <t>Commencement Date</t>
        </is>
      </c>
      <c r="B21" s="4" t="inlineStr">
        <is>
          <t>2025-04-01</t>
        </is>
      </c>
    </row>
    <row r="22">
      <c r="A22" s="3" t="inlineStr">
        <is>
          <t>C. FACILITY SOUGHT</t>
        </is>
      </c>
      <c r="B22" s="4" t="inlineStr"/>
    </row>
    <row r="23">
      <c r="A23" s="3" t="inlineStr">
        <is>
          <t>Purpose</t>
        </is>
      </c>
      <c r="B23" s="4" t="inlineStr">
        <is>
          <t>Injection-moulding unit for plastic auto components and household items</t>
        </is>
      </c>
    </row>
    <row r="24">
      <c r="A24" s="3" t="inlineStr">
        <is>
          <t>Loan Type</t>
        </is>
      </c>
      <c r="B24" s="4" t="inlineStr">
        <is>
          <t>Term Loan + Cash Credit</t>
        </is>
      </c>
    </row>
    <row r="25">
      <c r="A25" s="3" t="inlineStr">
        <is>
          <t>Scheme</t>
        </is>
      </c>
      <c r="B25" s="4" t="inlineStr">
        <is>
          <t>cgtmse</t>
        </is>
      </c>
    </row>
    <row r="26">
      <c r="A26" s="3" t="inlineStr">
        <is>
          <t>Preferred Bank</t>
        </is>
      </c>
      <c r="B26" s="4" t="inlineStr">
        <is>
          <t>Bank of Maharashtra</t>
        </is>
      </c>
    </row>
    <row r="27">
      <c r="A27" s="3" t="inlineStr">
        <is>
          <t>Amount</t>
        </is>
      </c>
      <c r="B27" s="4" t="n">
        <v>2105400</v>
      </c>
    </row>
    <row r="28">
      <c r="A28" s="3" t="inlineStr">
        <is>
          <t>Interest Rate (%)</t>
        </is>
      </c>
      <c r="B28" s="4" t="n">
        <v>10.5</v>
      </c>
    </row>
    <row r="29">
      <c r="A29" s="3" t="inlineStr">
        <is>
          <t>Tenure (months)</t>
        </is>
      </c>
      <c r="B29" s="4" t="n">
        <v>84</v>
      </c>
    </row>
    <row r="30">
      <c r="A30" s="3" t="inlineStr">
        <is>
          <t>Moratorium (months)</t>
        </is>
      </c>
      <c r="B30" s="4" t="n">
        <v>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 ht="22" customHeight="1">
      <c r="A1" s="1" t="inlineStr">
        <is>
          <t>Promoter's Net Worth Statement</t>
        </is>
      </c>
    </row>
    <row r="2">
      <c r="A2" s="5" t="inlineStr">
        <is>
          <t>Particulars</t>
        </is>
      </c>
      <c r="B2" s="6" t="inlineStr">
        <is>
          <t>Amount</t>
        </is>
      </c>
    </row>
    <row r="3">
      <c r="A3" s="7" t="inlineStr"/>
      <c r="B3" s="8" t="inlineStr">
        <is>
          <t>(Rs.)</t>
        </is>
      </c>
    </row>
    <row r="4">
      <c r="A4" s="9" t="inlineStr">
        <is>
          <t>A. ASSETS</t>
        </is>
      </c>
    </row>
    <row r="5">
      <c r="A5" s="10" t="inlineStr">
        <is>
          <t>Residential Property</t>
        </is>
      </c>
      <c r="B5" s="11" t="n">
        <v>4500000</v>
      </c>
    </row>
    <row r="6">
      <c r="A6" s="10" t="inlineStr">
        <is>
          <t>Commercial Property</t>
        </is>
      </c>
      <c r="B6" s="11" t="n">
        <v>0</v>
      </c>
    </row>
    <row r="7">
      <c r="A7" s="10" t="inlineStr">
        <is>
          <t>Fixed Deposits</t>
        </is>
      </c>
      <c r="B7" s="11" t="n">
        <v>800000</v>
      </c>
    </row>
    <row r="8">
      <c r="A8" s="10" t="inlineStr">
        <is>
          <t>Savings / Bank Balance</t>
        </is>
      </c>
      <c r="B8" s="11" t="n">
        <v>400000</v>
      </c>
    </row>
    <row r="9">
      <c r="A9" s="10" t="inlineStr">
        <is>
          <t>Mutual Funds</t>
        </is>
      </c>
      <c r="B9" s="11" t="n">
        <v>300000</v>
      </c>
    </row>
    <row r="10">
      <c r="A10" s="10" t="inlineStr">
        <is>
          <t>Shares / Securities</t>
        </is>
      </c>
      <c r="B10" s="11" t="n">
        <v>150000</v>
      </c>
    </row>
    <row r="11">
      <c r="A11" s="10" t="inlineStr">
        <is>
          <t>Gold / Jewellery</t>
        </is>
      </c>
      <c r="B11" s="11" t="n">
        <v>500000</v>
      </c>
    </row>
    <row r="12">
      <c r="A12" s="10" t="inlineStr">
        <is>
          <t>Other Assets</t>
        </is>
      </c>
      <c r="B12" s="11" t="n">
        <v>0</v>
      </c>
    </row>
    <row r="13">
      <c r="A13" s="12" t="inlineStr">
        <is>
          <t>Total Assets</t>
        </is>
      </c>
      <c r="B13" s="13" t="n">
        <v>6650000</v>
      </c>
    </row>
    <row r="14">
      <c r="A14" s="9" t="inlineStr">
        <is>
          <t>B. LIABILITIES</t>
        </is>
      </c>
    </row>
    <row r="15">
      <c r="A15" s="10" t="inlineStr">
        <is>
          <t>Total Liabilities</t>
        </is>
      </c>
      <c r="B15" s="11" t="n">
        <v>600000</v>
      </c>
    </row>
    <row r="16">
      <c r="A16" s="12" t="inlineStr">
        <is>
          <t>NET WORTH (A - B)</t>
        </is>
      </c>
      <c r="B16" s="13" t="n">
        <v>6050000</v>
      </c>
    </row>
    <row r="17">
      <c r="A17" s="9" t="inlineStr">
        <is>
          <t>GUARANTOR</t>
        </is>
      </c>
    </row>
    <row r="18">
      <c r="A18" s="10" t="inlineStr">
        <is>
          <t xml:space="preserve">  Sujata Deshmukh (Director)</t>
        </is>
      </c>
      <c r="B18" s="11" t="n">
        <v>2500000</v>
      </c>
    </row>
  </sheetData>
  <mergeCells count="4">
    <mergeCell ref="A4:B4"/>
    <mergeCell ref="A14:B14"/>
    <mergeCell ref="A1:B1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 Observations &amp; Recommendation</t>
        </is>
      </c>
    </row>
    <row r="2">
      <c r="A2" s="5" t="inlineStr">
        <is>
          <t>Particulars</t>
        </is>
      </c>
      <c r="B2" s="6" t="inlineStr">
        <is>
          <t>Value</t>
        </is>
      </c>
      <c r="C2" s="6" t="inlineStr">
        <is>
          <t>Benchmark</t>
        </is>
      </c>
      <c r="D2" s="6" t="inlineStr">
        <is>
          <t>Assessment</t>
        </is>
      </c>
    </row>
    <row r="3">
      <c r="A3" s="7" t="inlineStr"/>
      <c r="B3" s="8" t="inlineStr"/>
      <c r="C3" s="8" t="inlineStr"/>
      <c r="D3" s="8" t="inlineStr"/>
    </row>
    <row r="4">
      <c r="A4" s="10" t="inlineStr">
        <is>
          <t>Average DSCR</t>
        </is>
      </c>
      <c r="B4" s="14" t="inlineStr">
        <is>
          <t>2.46</t>
        </is>
      </c>
      <c r="C4" s="14" t="inlineStr">
        <is>
          <t>&gt;= 1.50 (min 1.25)</t>
        </is>
      </c>
      <c r="D4" s="14" t="inlineStr">
        <is>
          <t>Good</t>
        </is>
      </c>
    </row>
    <row r="5">
      <c r="A5" s="10" t="inlineStr">
        <is>
          <t>Minimum DSCR (weakest year)</t>
        </is>
      </c>
      <c r="B5" s="14" t="inlineStr">
        <is>
          <t>1.93 (Yr 2)</t>
        </is>
      </c>
      <c r="C5" s="14" t="inlineStr">
        <is>
          <t>&gt;= 1.20 (min 1.00)</t>
        </is>
      </c>
      <c r="D5" s="14" t="inlineStr">
        <is>
          <t>Good</t>
        </is>
      </c>
    </row>
    <row r="6">
      <c r="A6" s="10" t="inlineStr">
        <is>
          <t>Debt-Equity (Total Debt incl. WC / Net Worth)</t>
        </is>
      </c>
      <c r="B6" s="14" t="inlineStr">
        <is>
          <t>1.32:1</t>
        </is>
      </c>
      <c r="C6" s="14" t="inlineStr">
        <is>
          <t>&lt;= 2.0 (max 3.0)</t>
        </is>
      </c>
      <c r="D6" s="14" t="inlineStr">
        <is>
          <t>Good</t>
        </is>
      </c>
    </row>
    <row r="7">
      <c r="A7" s="10" t="inlineStr">
        <is>
          <t>Promoter Contribution</t>
        </is>
      </c>
      <c r="B7" s="14" t="inlineStr">
        <is>
          <t>42.0%</t>
        </is>
      </c>
      <c r="C7" s="14" t="inlineStr">
        <is>
          <t>&gt;= 15% (min 10%)</t>
        </is>
      </c>
      <c r="D7" s="14" t="inlineStr">
        <is>
          <t>Good</t>
        </is>
      </c>
    </row>
    <row r="8">
      <c r="A8" s="10" t="inlineStr">
        <is>
          <t>Current Ratio (Yr 1)</t>
        </is>
      </c>
      <c r="B8" s="14" t="inlineStr">
        <is>
          <t>2.15</t>
        </is>
      </c>
      <c r="C8" s="14" t="inlineStr">
        <is>
          <t>&gt;= 1.33</t>
        </is>
      </c>
      <c r="D8" s="14" t="inlineStr">
        <is>
          <t>Good</t>
        </is>
      </c>
    </row>
    <row r="9">
      <c r="A9" s="10" t="inlineStr">
        <is>
          <t>Interest Coverage (Yr 1)</t>
        </is>
      </c>
      <c r="B9" s="14" t="inlineStr">
        <is>
          <t>3.94</t>
        </is>
      </c>
      <c r="C9" s="14" t="inlineStr">
        <is>
          <t>&gt;= 2.0</t>
        </is>
      </c>
      <c r="D9" s="14" t="inlineStr">
        <is>
          <t>Good</t>
        </is>
      </c>
    </row>
    <row r="10">
      <c r="A10" s="10" t="inlineStr">
        <is>
          <t>TOL / TNW (Yr 1)</t>
        </is>
      </c>
      <c r="B10" s="14" t="inlineStr">
        <is>
          <t>1.57</t>
        </is>
      </c>
      <c r="C10" s="14" t="inlineStr">
        <is>
          <t>&lt;= 3.0</t>
        </is>
      </c>
      <c r="D10" s="14" t="inlineStr">
        <is>
          <t>Good</t>
        </is>
      </c>
    </row>
    <row r="11">
      <c r="A11" s="10" t="inlineStr">
        <is>
          <t>Total Debt / EBITDA (Yr 1)</t>
        </is>
      </c>
      <c r="B11" s="14" t="inlineStr">
        <is>
          <t>2.30x</t>
        </is>
      </c>
      <c r="C11" s="14" t="inlineStr">
        <is>
          <t>&lt;= 3.5x (max 4.5x)</t>
        </is>
      </c>
      <c r="D11" s="14" t="inlineStr">
        <is>
          <t>Good</t>
        </is>
      </c>
    </row>
    <row r="12">
      <c r="A12" s="10" t="inlineStr">
        <is>
          <t>WC Limit vs MPBF</t>
        </is>
      </c>
      <c r="B12" s="14" t="inlineStr">
        <is>
          <t>Sought 700,000</t>
        </is>
      </c>
      <c r="C12" s="14" t="inlineStr">
        <is>
          <t>&lt;= MPBF 817,085</t>
        </is>
      </c>
      <c r="D12" s="14" t="inlineStr">
        <is>
          <t>Good</t>
        </is>
      </c>
    </row>
    <row r="13">
      <c r="A13" s="10" t="inlineStr">
        <is>
          <t>Break-even (Yr 1)</t>
        </is>
      </c>
      <c r="B13" s="14" t="inlineStr">
        <is>
          <t>75.2% of sales</t>
        </is>
      </c>
      <c r="C13" s="14" t="inlineStr">
        <is>
          <t>&lt;= 70% comfortable</t>
        </is>
      </c>
      <c r="D13" s="14" t="inlineStr">
        <is>
          <t>Caution</t>
        </is>
      </c>
    </row>
    <row r="14">
      <c r="A14" s="10" t="inlineStr">
        <is>
          <t>Net Profit (PAT) Trend</t>
        </is>
      </c>
      <c r="B14" s="14" t="inlineStr">
        <is>
          <t>Yr1 479,791 -&gt; Yr5 1,028,175</t>
        </is>
      </c>
      <c r="C14" s="14" t="inlineStr">
        <is>
          <t>Positive &amp; rising</t>
        </is>
      </c>
      <c r="D14" s="14" t="inlineStr">
        <is>
          <t>Good</t>
        </is>
      </c>
    </row>
    <row r="15">
      <c r="A15" s="10" t="inlineStr">
        <is>
          <t>Stress DSCR (Sales -10%)</t>
        </is>
      </c>
      <c r="B15" s="14" t="inlineStr">
        <is>
          <t>1.31 (min yr)</t>
        </is>
      </c>
      <c r="C15" s="14" t="inlineStr">
        <is>
          <t>&gt;= 1.0</t>
        </is>
      </c>
      <c r="D15" s="14" t="inlineStr">
        <is>
          <t>Good</t>
        </is>
      </c>
    </row>
    <row r="16">
      <c r="A16" s="10" t="inlineStr">
        <is>
          <t>Balance Sheet Tally</t>
        </is>
      </c>
      <c r="B16" s="14" t="inlineStr">
        <is>
          <t>max diff 0</t>
        </is>
      </c>
      <c r="C16" s="14">
        <f> 0</f>
        <v/>
      </c>
      <c r="D16" s="14" t="inlineStr">
        <is>
          <t>Good</t>
        </is>
      </c>
    </row>
    <row r="17">
      <c r="A17" s="12" t="inlineStr">
        <is>
          <t>OVERALL RECOMMENDATION (system)</t>
        </is>
      </c>
      <c r="B17" s="15" t="inlineStr">
        <is>
          <t>RECOMMEND - financials meet banking benchmarks.</t>
        </is>
      </c>
      <c r="C17" s="15" t="inlineStr"/>
      <c r="D17" s="15" t="inlineStr"/>
    </row>
    <row r="18">
      <c r="A18" s="10" t="inlineStr">
        <is>
          <t>Analyst's Recommendation</t>
        </is>
      </c>
      <c r="B18" s="14" t="inlineStr">
        <is>
          <t>Recommend</t>
        </is>
      </c>
      <c r="C18" s="14" t="inlineStr">
        <is>
          <t>GREEN</t>
        </is>
      </c>
      <c r="D18" s="14" t="inlineStr">
        <is>
          <t>See Credit Appraisal Note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2" customHeight="1">
      <c r="A1" s="1" t="inlineStr">
        <is>
          <t>Credit Appraisal Note</t>
        </is>
      </c>
    </row>
    <row r="2">
      <c r="A2" s="2" t="inlineStr">
        <is>
          <t>Field</t>
        </is>
      </c>
      <c r="B2" s="2" t="inlineStr">
        <is>
          <t>Details</t>
        </is>
      </c>
    </row>
    <row r="3">
      <c r="A3" s="3" t="inlineStr">
        <is>
          <t>Recommendation</t>
        </is>
      </c>
      <c r="B3" s="4" t="inlineStr">
        <is>
          <t>Recommend  (GREEN)</t>
        </is>
      </c>
    </row>
    <row r="4">
      <c r="A4" s="3" t="inlineStr">
        <is>
          <t>Strengths</t>
        </is>
      </c>
      <c r="B4" s="4" t="inlineStr">
        <is>
          <t>Strong 42% promoter stake; 15% export orders; DSCR ~2.8x; full collateral plus CGTMSE cover.</t>
        </is>
      </c>
    </row>
    <row r="5">
      <c r="A5" s="3" t="inlineStr">
        <is>
          <t>Risk Factors / Weaknesses</t>
        </is>
      </c>
      <c r="B5" s="4" t="inlineStr">
        <is>
          <t>Polymer raw-material price volatility; power-intensive process.</t>
        </is>
      </c>
    </row>
    <row r="6">
      <c r="A6" s="3" t="inlineStr">
        <is>
          <t>Risk Mitigants</t>
        </is>
      </c>
      <c r="B6" s="4" t="inlineStr">
        <is>
          <t>CGTMSE 75% guarantee plus residential + FD collateral; insurance assigned to bank.</t>
        </is>
      </c>
    </row>
    <row r="7">
      <c r="A7" s="3" t="inlineStr">
        <is>
          <t>Covenant 1</t>
        </is>
      </c>
      <c r="B7" s="4" t="inlineStr">
        <is>
          <t>Hypothecation and mortgage of collateral to be perfected before first disbursement</t>
        </is>
      </c>
    </row>
    <row r="8">
      <c r="A8" s="3" t="inlineStr">
        <is>
          <t>Covenant 2</t>
        </is>
      </c>
      <c r="B8" s="4" t="inlineStr">
        <is>
          <t>Promoter to maintain minimum 40% stake through the loan tenure</t>
        </is>
      </c>
    </row>
    <row r="9">
      <c r="A9" s="3" t="inlineStr">
        <is>
          <t>Covenant 3</t>
        </is>
      </c>
      <c r="B9" s="4" t="inlineStr">
        <is>
          <t>Quarterly stock &amp; book-debt statements to be submitted</t>
        </is>
      </c>
    </row>
    <row r="10">
      <c r="A10" s="3" t="inlineStr">
        <is>
          <t>Covenant 4</t>
        </is>
      </c>
      <c r="B10" s="4" t="inlineStr">
        <is>
          <t>Insurance on hypothecated assets kept current with the bank as loss-payee</t>
        </is>
      </c>
    </row>
    <row r="11">
      <c r="A11" s="3" t="inlineStr">
        <is>
          <t>Remarks / Conditions</t>
        </is>
      </c>
      <c r="B11" s="4" t="inlineStr">
        <is>
          <t>Bankable CGTMSE proposal; recommended for sanction with standard covenants.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Operating Statement (Form II)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1. Gross Sales / Sales &amp; Services</t>
        </is>
      </c>
      <c r="B4" s="13" t="n">
        <v>7912800</v>
      </c>
      <c r="C4" s="13" t="n">
        <v>8545824</v>
      </c>
      <c r="D4" s="13" t="n">
        <v>9229489.92</v>
      </c>
      <c r="E4" s="13" t="n">
        <v>9967849.109999999</v>
      </c>
      <c r="F4" s="13" t="n">
        <v>10765277.04</v>
      </c>
    </row>
    <row r="5">
      <c r="A5" s="10" t="inlineStr">
        <is>
          <t xml:space="preserve">   i. Domestic Sales</t>
        </is>
      </c>
      <c r="B5" s="11" t="n">
        <v>6725880</v>
      </c>
      <c r="C5" s="11" t="n">
        <v>7263950.4</v>
      </c>
      <c r="D5" s="11" t="n">
        <v>7845066.43</v>
      </c>
      <c r="E5" s="11" t="n">
        <v>8472671.74</v>
      </c>
      <c r="F5" s="11" t="n">
        <v>9150485.48</v>
      </c>
    </row>
    <row r="6">
      <c r="A6" s="10" t="inlineStr">
        <is>
          <t xml:space="preserve">   ii. Export Sales</t>
        </is>
      </c>
      <c r="B6" s="11" t="n">
        <v>1186920</v>
      </c>
      <c r="C6" s="11" t="n">
        <v>1281873.6</v>
      </c>
      <c r="D6" s="11" t="n">
        <v>1384423.49</v>
      </c>
      <c r="E6" s="11" t="n">
        <v>1495177.37</v>
      </c>
      <c r="F6" s="11" t="n">
        <v>1614791.56</v>
      </c>
    </row>
    <row r="7">
      <c r="A7" s="12" t="inlineStr">
        <is>
          <t>2. Net Sales</t>
        </is>
      </c>
      <c r="B7" s="13" t="n">
        <v>7912800</v>
      </c>
      <c r="C7" s="13" t="n">
        <v>8545824</v>
      </c>
      <c r="D7" s="13" t="n">
        <v>9229489.92</v>
      </c>
      <c r="E7" s="13" t="n">
        <v>9967849.109999999</v>
      </c>
      <c r="F7" s="13" t="n">
        <v>10765277.04</v>
      </c>
    </row>
    <row r="8">
      <c r="A8" s="9" t="inlineStr">
        <is>
          <t>3. COST OF SALES</t>
        </is>
      </c>
    </row>
    <row r="9">
      <c r="A9" s="10" t="inlineStr">
        <is>
          <t xml:space="preserve">   Raw Material / Consumables</t>
        </is>
      </c>
      <c r="B9" s="11" t="n">
        <v>3996000</v>
      </c>
      <c r="C9" s="11" t="n">
        <v>4315680</v>
      </c>
      <c r="D9" s="11" t="n">
        <v>4660934.4</v>
      </c>
      <c r="E9" s="11" t="n">
        <v>5033809.15</v>
      </c>
      <c r="F9" s="11" t="n">
        <v>5436513.88</v>
      </c>
    </row>
    <row r="10">
      <c r="A10" s="10" t="inlineStr">
        <is>
          <t xml:space="preserve">   Depreciation</t>
        </is>
      </c>
      <c r="B10" s="11" t="n">
        <v>197000</v>
      </c>
      <c r="C10" s="11" t="n">
        <v>175000</v>
      </c>
      <c r="D10" s="11" t="n">
        <v>156995</v>
      </c>
      <c r="E10" s="11" t="n">
        <v>141823.75</v>
      </c>
      <c r="F10" s="11" t="n">
        <v>128748.01</v>
      </c>
    </row>
    <row r="11">
      <c r="A11" s="12" t="inlineStr">
        <is>
          <t xml:space="preserve">   Cost of Production / Sales</t>
        </is>
      </c>
      <c r="B11" s="13" t="n">
        <v>4193000</v>
      </c>
      <c r="C11" s="13" t="n">
        <v>4490680</v>
      </c>
      <c r="D11" s="13" t="n">
        <v>4817929.4</v>
      </c>
      <c r="E11" s="13" t="n">
        <v>5175632.9</v>
      </c>
      <c r="F11" s="13" t="n">
        <v>5565261.89</v>
      </c>
    </row>
    <row r="12">
      <c r="A12" s="10" t="inlineStr">
        <is>
          <t>4. Selling, General &amp; Admin Expenses</t>
        </is>
      </c>
      <c r="B12" s="11" t="n">
        <v>2769054</v>
      </c>
      <c r="C12" s="11" t="n">
        <v>2966754.46</v>
      </c>
      <c r="D12" s="11" t="n">
        <v>3177754.98</v>
      </c>
      <c r="E12" s="11" t="n">
        <v>3404817.38</v>
      </c>
      <c r="F12" s="11" t="n">
        <v>3649172.72</v>
      </c>
    </row>
    <row r="13">
      <c r="A13" s="10" t="inlineStr">
        <is>
          <t xml:space="preserve">   incl. CGTMSE Guarantee Fee</t>
        </is>
      </c>
      <c r="B13" s="11" t="n">
        <v>21054</v>
      </c>
      <c r="C13" s="11" t="n">
        <v>19434.46</v>
      </c>
      <c r="D13" s="11" t="n">
        <v>16195.38</v>
      </c>
      <c r="E13" s="11" t="n">
        <v>12956.31</v>
      </c>
      <c r="F13" s="11" t="n">
        <v>9717.23</v>
      </c>
    </row>
    <row r="14">
      <c r="A14" s="12" t="inlineStr">
        <is>
          <t>5. Total Cost of Sales (3+4)</t>
        </is>
      </c>
      <c r="B14" s="13" t="n">
        <v>6962054</v>
      </c>
      <c r="C14" s="13" t="n">
        <v>7457434.46</v>
      </c>
      <c r="D14" s="13" t="n">
        <v>7995684.38</v>
      </c>
      <c r="E14" s="13" t="n">
        <v>8580450.280000001</v>
      </c>
      <c r="F14" s="13" t="n">
        <v>9214434.609999999</v>
      </c>
    </row>
    <row r="15">
      <c r="A15" s="12" t="inlineStr">
        <is>
          <t>6. Operating Profit before Interest</t>
        </is>
      </c>
      <c r="B15" s="13" t="n">
        <v>950746</v>
      </c>
      <c r="C15" s="13" t="n">
        <v>1088389.54</v>
      </c>
      <c r="D15" s="13" t="n">
        <v>1233805.54</v>
      </c>
      <c r="E15" s="13" t="n">
        <v>1387398.84</v>
      </c>
      <c r="F15" s="13" t="n">
        <v>1550842.43</v>
      </c>
    </row>
    <row r="16">
      <c r="A16" s="10" t="inlineStr">
        <is>
          <t>7. Interest on Working Capital</t>
        </is>
      </c>
      <c r="B16" s="11" t="n">
        <v>73500</v>
      </c>
      <c r="C16" s="11" t="n">
        <v>73500</v>
      </c>
      <c r="D16" s="11" t="n">
        <v>73500</v>
      </c>
      <c r="E16" s="11" t="n">
        <v>73500</v>
      </c>
      <c r="F16" s="11" t="n">
        <v>73500</v>
      </c>
    </row>
    <row r="17">
      <c r="A17" s="10" t="inlineStr">
        <is>
          <t xml:space="preserve">   Interest on Term Loan</t>
        </is>
      </c>
      <c r="B17" s="11" t="n">
        <v>217524.26</v>
      </c>
      <c r="C17" s="11" t="n">
        <v>188473.79</v>
      </c>
      <c r="D17" s="11" t="n">
        <v>154463.48</v>
      </c>
      <c r="E17" s="11" t="n">
        <v>120453.17</v>
      </c>
      <c r="F17" s="11" t="n">
        <v>86442.87</v>
      </c>
    </row>
    <row r="18">
      <c r="A18" s="10" t="inlineStr">
        <is>
          <t xml:space="preserve">   Less: Preliminary Expenses Written Off</t>
        </is>
      </c>
      <c r="B18" s="11" t="n">
        <v>20000</v>
      </c>
      <c r="C18" s="11" t="n">
        <v>20000</v>
      </c>
      <c r="D18" s="11" t="n">
        <v>20000</v>
      </c>
      <c r="E18" s="11" t="n">
        <v>20000</v>
      </c>
      <c r="F18" s="11" t="n">
        <v>20000</v>
      </c>
    </row>
    <row r="19">
      <c r="A19" s="12" t="inlineStr">
        <is>
          <t>8. Operating Profit after Interest (PBT)</t>
        </is>
      </c>
      <c r="B19" s="13" t="n">
        <v>639721.74</v>
      </c>
      <c r="C19" s="13" t="n">
        <v>806415.75</v>
      </c>
      <c r="D19" s="13" t="n">
        <v>985842.0600000001</v>
      </c>
      <c r="E19" s="13" t="n">
        <v>1173445.67</v>
      </c>
      <c r="F19" s="13" t="n">
        <v>1370899.56</v>
      </c>
    </row>
    <row r="20">
      <c r="A20" s="10" t="inlineStr">
        <is>
          <t>9. Provision for Tax</t>
        </is>
      </c>
      <c r="B20" s="11" t="n">
        <v>159930.43</v>
      </c>
      <c r="C20" s="11" t="n">
        <v>201603.94</v>
      </c>
      <c r="D20" s="11" t="n">
        <v>246460.51</v>
      </c>
      <c r="E20" s="11" t="n">
        <v>293361.42</v>
      </c>
      <c r="F20" s="11" t="n">
        <v>342724.89</v>
      </c>
    </row>
    <row r="21">
      <c r="A21" s="12" t="inlineStr">
        <is>
          <t>10. NET PROFIT AFTER TAX</t>
        </is>
      </c>
      <c r="B21" s="13" t="n">
        <v>479791.3</v>
      </c>
      <c r="C21" s="13" t="n">
        <v>604811.8100000001</v>
      </c>
      <c r="D21" s="13" t="n">
        <v>739381.54</v>
      </c>
      <c r="E21" s="13" t="n">
        <v>880084.25</v>
      </c>
      <c r="F21" s="13" t="n">
        <v>1028174.67</v>
      </c>
    </row>
    <row r="22">
      <c r="A22" s="10" t="inlineStr">
        <is>
          <t>11. Retained Profit</t>
        </is>
      </c>
      <c r="B22" s="11" t="n">
        <v>479791.3</v>
      </c>
      <c r="C22" s="11" t="n">
        <v>604811.8100000001</v>
      </c>
      <c r="D22" s="11" t="n">
        <v>739381.54</v>
      </c>
      <c r="E22" s="11" t="n">
        <v>880084.25</v>
      </c>
      <c r="F22" s="11" t="n">
        <v>1028174.67</v>
      </c>
    </row>
    <row r="23">
      <c r="A23" s="10" t="inlineStr">
        <is>
          <t>NP Ratio (%)</t>
        </is>
      </c>
      <c r="B23" s="14" t="n">
        <v>6.06</v>
      </c>
      <c r="C23" s="14" t="n">
        <v>7.08</v>
      </c>
      <c r="D23" s="14" t="n">
        <v>8.01</v>
      </c>
      <c r="E23" s="14" t="n">
        <v>8.83</v>
      </c>
      <c r="F23" s="14" t="n">
        <v>9.550000000000001</v>
      </c>
    </row>
  </sheetData>
  <mergeCells count="2">
    <mergeCell ref="A8:F8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Balance Sheet (Form III)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CURRENT LIABILITIES</t>
        </is>
      </c>
    </row>
    <row r="5">
      <c r="A5" s="10" t="inlineStr">
        <is>
          <t xml:space="preserve">  Working Capital Bank Borrowing</t>
        </is>
      </c>
      <c r="B5" s="11" t="n">
        <v>700000</v>
      </c>
      <c r="C5" s="11" t="n">
        <v>700000</v>
      </c>
      <c r="D5" s="11" t="n">
        <v>700000</v>
      </c>
      <c r="E5" s="11" t="n">
        <v>700000</v>
      </c>
      <c r="F5" s="11" t="n">
        <v>700000</v>
      </c>
    </row>
    <row r="6">
      <c r="A6" s="10" t="inlineStr">
        <is>
          <t xml:space="preserve">  Sundry Creditors (Trade)</t>
        </is>
      </c>
      <c r="B6" s="11" t="n">
        <v>328438.36</v>
      </c>
      <c r="C6" s="11" t="n">
        <v>354713.42</v>
      </c>
      <c r="D6" s="11" t="n">
        <v>383090.5</v>
      </c>
      <c r="E6" s="11" t="n">
        <v>413737.74</v>
      </c>
      <c r="F6" s="11" t="n">
        <v>446836.76</v>
      </c>
    </row>
    <row r="7">
      <c r="A7" s="10" t="inlineStr">
        <is>
          <t xml:space="preserve">  Current Portion of Term Loan (CPTL)</t>
        </is>
      </c>
      <c r="B7" s="11" t="n">
        <v>161953.85</v>
      </c>
      <c r="C7" s="11" t="n">
        <v>323907.69</v>
      </c>
      <c r="D7" s="11" t="n">
        <v>323907.69</v>
      </c>
      <c r="E7" s="11" t="n">
        <v>323907.69</v>
      </c>
      <c r="F7" s="11" t="n">
        <v>323907.69</v>
      </c>
    </row>
    <row r="8">
      <c r="A8" s="12" t="inlineStr">
        <is>
          <t xml:space="preserve">  TOTAL CURRENT LIABILITIES</t>
        </is>
      </c>
      <c r="B8" s="13" t="n">
        <v>1190392.21</v>
      </c>
      <c r="C8" s="13" t="n">
        <v>1378621.11</v>
      </c>
      <c r="D8" s="13" t="n">
        <v>1406998.19</v>
      </c>
      <c r="E8" s="13" t="n">
        <v>1437645.43</v>
      </c>
      <c r="F8" s="13" t="n">
        <v>1470744.45</v>
      </c>
    </row>
    <row r="9">
      <c r="A9" s="9" t="inlineStr">
        <is>
          <t>TERM LIABILITIES</t>
        </is>
      </c>
    </row>
    <row r="10">
      <c r="A10" s="10" t="inlineStr">
        <is>
          <t xml:space="preserve">  Term Loan (net of current portion)</t>
        </is>
      </c>
      <c r="B10" s="11" t="n">
        <v>1781492.3</v>
      </c>
      <c r="C10" s="11" t="n">
        <v>1295630.77</v>
      </c>
      <c r="D10" s="11" t="n">
        <v>971723.0800000001</v>
      </c>
      <c r="E10" s="11" t="n">
        <v>647815.3899999999</v>
      </c>
      <c r="F10" s="11" t="n">
        <v>323907.69</v>
      </c>
    </row>
    <row r="11">
      <c r="A11" s="12" t="inlineStr">
        <is>
          <t xml:space="preserve">  TOTAL TERM LIABILITIES</t>
        </is>
      </c>
      <c r="B11" s="13" t="n">
        <v>1781492.3</v>
      </c>
      <c r="C11" s="13" t="n">
        <v>1295630.77</v>
      </c>
      <c r="D11" s="13" t="n">
        <v>971723.0800000001</v>
      </c>
      <c r="E11" s="13" t="n">
        <v>647815.3899999999</v>
      </c>
      <c r="F11" s="13" t="n">
        <v>323907.69</v>
      </c>
    </row>
    <row r="12">
      <c r="A12" s="12" t="inlineStr">
        <is>
          <t>TOTAL OUTSIDE LIABILITIES</t>
        </is>
      </c>
      <c r="B12" s="13" t="n">
        <v>2971884.51</v>
      </c>
      <c r="C12" s="13" t="n">
        <v>2674251.88</v>
      </c>
      <c r="D12" s="13" t="n">
        <v>2378721.27</v>
      </c>
      <c r="E12" s="13" t="n">
        <v>2085460.82</v>
      </c>
      <c r="F12" s="13" t="n">
        <v>1794652.14</v>
      </c>
    </row>
    <row r="13">
      <c r="A13" s="9" t="inlineStr">
        <is>
          <t>NET WORTH</t>
        </is>
      </c>
    </row>
    <row r="14">
      <c r="A14" s="10" t="inlineStr">
        <is>
          <t xml:space="preserve">  Capital &amp; Reserves</t>
        </is>
      </c>
      <c r="B14" s="11" t="n">
        <v>2004391.3</v>
      </c>
      <c r="C14" s="11" t="n">
        <v>2609203.11</v>
      </c>
      <c r="D14" s="11" t="n">
        <v>3348584.65</v>
      </c>
      <c r="E14" s="11" t="n">
        <v>4228668.9</v>
      </c>
      <c r="F14" s="11" t="n">
        <v>5256843.57</v>
      </c>
    </row>
    <row r="15">
      <c r="A15" s="12" t="inlineStr">
        <is>
          <t xml:space="preserve">  NET WORTH</t>
        </is>
      </c>
      <c r="B15" s="13" t="n">
        <v>2004391.3</v>
      </c>
      <c r="C15" s="13" t="n">
        <v>2609203.11</v>
      </c>
      <c r="D15" s="13" t="n">
        <v>3348584.65</v>
      </c>
      <c r="E15" s="13" t="n">
        <v>4228668.9</v>
      </c>
      <c r="F15" s="13" t="n">
        <v>5256843.57</v>
      </c>
    </row>
    <row r="16">
      <c r="A16" s="12" t="inlineStr">
        <is>
          <t>TOTAL LIABILITIES</t>
        </is>
      </c>
      <c r="B16" s="13" t="n">
        <v>4976275.81</v>
      </c>
      <c r="C16" s="13" t="n">
        <v>5283454.99</v>
      </c>
      <c r="D16" s="13" t="n">
        <v>5727305.92</v>
      </c>
      <c r="E16" s="13" t="n">
        <v>6314129.72</v>
      </c>
      <c r="F16" s="13" t="n">
        <v>7051495.71</v>
      </c>
    </row>
    <row r="17">
      <c r="A17" s="9" t="inlineStr">
        <is>
          <t>CURRENT ASSETS</t>
        </is>
      </c>
    </row>
    <row r="18">
      <c r="A18" s="10" t="inlineStr">
        <is>
          <t xml:space="preserve">  Cash &amp; Bank Balance</t>
        </is>
      </c>
      <c r="B18" s="11" t="n">
        <v>1155908.68</v>
      </c>
      <c r="C18" s="11" t="n">
        <v>1548084.8</v>
      </c>
      <c r="D18" s="11" t="n">
        <v>2049733.23</v>
      </c>
      <c r="E18" s="11" t="n">
        <v>2669354.74</v>
      </c>
      <c r="F18" s="11" t="n">
        <v>3415893.96</v>
      </c>
    </row>
    <row r="19">
      <c r="A19" s="10" t="inlineStr">
        <is>
          <t xml:space="preserve">  Receivables (Debtors)</t>
        </is>
      </c>
      <c r="B19" s="11" t="n">
        <v>650367.12</v>
      </c>
      <c r="C19" s="11" t="n">
        <v>702396.49</v>
      </c>
      <c r="D19" s="11" t="n">
        <v>758588.21</v>
      </c>
      <c r="E19" s="11" t="n">
        <v>819275.27</v>
      </c>
      <c r="F19" s="11" t="n">
        <v>884817.29</v>
      </c>
    </row>
    <row r="20">
      <c r="A20" s="10" t="inlineStr">
        <is>
          <t xml:space="preserve">  Inventory - Raw Material</t>
        </is>
      </c>
      <c r="B20" s="11" t="n">
        <v>328438.36</v>
      </c>
      <c r="C20" s="11" t="n">
        <v>354713.42</v>
      </c>
      <c r="D20" s="11" t="n">
        <v>383090.5</v>
      </c>
      <c r="E20" s="11" t="n">
        <v>413737.74</v>
      </c>
      <c r="F20" s="11" t="n">
        <v>446836.76</v>
      </c>
    </row>
    <row r="21">
      <c r="A21" s="10" t="inlineStr">
        <is>
          <t xml:space="preserve">  Inventory - Work in Progress</t>
        </is>
      </c>
      <c r="B21" s="11" t="n">
        <v>171424.66</v>
      </c>
      <c r="C21" s="11" t="n">
        <v>184104.11</v>
      </c>
      <c r="D21" s="11" t="n">
        <v>197955.59</v>
      </c>
      <c r="E21" s="11" t="n">
        <v>213032.29</v>
      </c>
      <c r="F21" s="11" t="n">
        <v>229405.78</v>
      </c>
    </row>
    <row r="22">
      <c r="A22" s="10" t="inlineStr">
        <is>
          <t xml:space="preserve">  Inventory - Finished Goods</t>
        </is>
      </c>
      <c r="B22" s="11" t="n">
        <v>257136.99</v>
      </c>
      <c r="C22" s="11" t="n">
        <v>276156.16</v>
      </c>
      <c r="D22" s="11" t="n">
        <v>296933.38</v>
      </c>
      <c r="E22" s="11" t="n">
        <v>319548.43</v>
      </c>
      <c r="F22" s="11" t="n">
        <v>344108.68</v>
      </c>
    </row>
    <row r="23">
      <c r="A23" s="12" t="inlineStr">
        <is>
          <t xml:space="preserve">  TOTAL CURRENT ASSETS</t>
        </is>
      </c>
      <c r="B23" s="13" t="n">
        <v>2563275.81</v>
      </c>
      <c r="C23" s="13" t="n">
        <v>3065454.99</v>
      </c>
      <c r="D23" s="13" t="n">
        <v>3686300.92</v>
      </c>
      <c r="E23" s="13" t="n">
        <v>4434948.47</v>
      </c>
      <c r="F23" s="13" t="n">
        <v>5321062.47</v>
      </c>
    </row>
    <row r="24">
      <c r="A24" s="9" t="inlineStr">
        <is>
          <t>FIXED ASSETS</t>
        </is>
      </c>
    </row>
    <row r="25">
      <c r="A25" s="10" t="inlineStr">
        <is>
          <t xml:space="preserve">  Gross Block</t>
        </is>
      </c>
      <c r="B25" s="11" t="n">
        <v>2350000</v>
      </c>
      <c r="C25" s="11" t="n">
        <v>2153000</v>
      </c>
      <c r="D25" s="11" t="n">
        <v>1978000</v>
      </c>
      <c r="E25" s="11" t="n">
        <v>1821005</v>
      </c>
      <c r="F25" s="11" t="n">
        <v>1679181.25</v>
      </c>
    </row>
    <row r="26">
      <c r="A26" s="10" t="inlineStr">
        <is>
          <t xml:space="preserve">  Less: Depreciation</t>
        </is>
      </c>
      <c r="B26" s="11" t="n">
        <v>197000</v>
      </c>
      <c r="C26" s="11" t="n">
        <v>175000</v>
      </c>
      <c r="D26" s="11" t="n">
        <v>156995</v>
      </c>
      <c r="E26" s="11" t="n">
        <v>141823.75</v>
      </c>
      <c r="F26" s="11" t="n">
        <v>128748.01</v>
      </c>
    </row>
    <row r="27">
      <c r="A27" s="12" t="inlineStr">
        <is>
          <t xml:space="preserve">  NET BLOCK</t>
        </is>
      </c>
      <c r="B27" s="13" t="n">
        <v>2303000</v>
      </c>
      <c r="C27" s="13" t="n">
        <v>2128000</v>
      </c>
      <c r="D27" s="13" t="n">
        <v>1971005</v>
      </c>
      <c r="E27" s="13" t="n">
        <v>1829181.25</v>
      </c>
      <c r="F27" s="13" t="n">
        <v>1700433.24</v>
      </c>
    </row>
    <row r="28">
      <c r="A28" s="10" t="inlineStr">
        <is>
          <t>OTHER / INTANGIBLE ASSETS</t>
        </is>
      </c>
      <c r="B28" s="11" t="n">
        <v>110000</v>
      </c>
      <c r="C28" s="11" t="n">
        <v>90000</v>
      </c>
      <c r="D28" s="11" t="n">
        <v>70000</v>
      </c>
      <c r="E28" s="11" t="n">
        <v>50000</v>
      </c>
      <c r="F28" s="11" t="n">
        <v>30000</v>
      </c>
    </row>
    <row r="29">
      <c r="A29" s="12" t="inlineStr">
        <is>
          <t>TOTAL ASSETS</t>
        </is>
      </c>
      <c r="B29" s="13" t="n">
        <v>4976275.81</v>
      </c>
      <c r="C29" s="13" t="n">
        <v>5283454.99</v>
      </c>
      <c r="D29" s="13" t="n">
        <v>5727305.92</v>
      </c>
      <c r="E29" s="13" t="n">
        <v>6314129.72</v>
      </c>
      <c r="F29" s="13" t="n">
        <v>7051495.71</v>
      </c>
    </row>
    <row r="30">
      <c r="A30" s="10" t="inlineStr">
        <is>
          <t>Tangible Net Worth</t>
        </is>
      </c>
      <c r="B30" s="11" t="n">
        <v>1894391.3</v>
      </c>
      <c r="C30" s="11" t="n">
        <v>2519203.11</v>
      </c>
      <c r="D30" s="11" t="n">
        <v>3278584.65</v>
      </c>
      <c r="E30" s="11" t="n">
        <v>4178668.9</v>
      </c>
      <c r="F30" s="11" t="n">
        <v>5226843.57</v>
      </c>
    </row>
    <row r="31">
      <c r="A31" s="10" t="inlineStr">
        <is>
          <t>Net Working Capital</t>
        </is>
      </c>
      <c r="B31" s="11" t="n">
        <v>1372883.6</v>
      </c>
      <c r="C31" s="11" t="n">
        <v>1686833.88</v>
      </c>
      <c r="D31" s="11" t="n">
        <v>2279302.73</v>
      </c>
      <c r="E31" s="11" t="n">
        <v>2997303.04</v>
      </c>
      <c r="F31" s="11" t="n">
        <v>3850318.02</v>
      </c>
    </row>
    <row r="32">
      <c r="A32" s="10" t="inlineStr">
        <is>
          <t>Current Ratio</t>
        </is>
      </c>
      <c r="B32" s="14" t="n">
        <v>2.15</v>
      </c>
      <c r="C32" s="14" t="n">
        <v>2.22</v>
      </c>
      <c r="D32" s="14" t="n">
        <v>2.62</v>
      </c>
      <c r="E32" s="14" t="n">
        <v>3.08</v>
      </c>
      <c r="F32" s="14" t="n">
        <v>3.62</v>
      </c>
    </row>
    <row r="33">
      <c r="A33" s="10" t="inlineStr">
        <is>
          <t>Difference [Assets - Liabilities]</t>
        </is>
      </c>
      <c r="B33" s="11" t="n">
        <v>0</v>
      </c>
      <c r="C33" s="11" t="n">
        <v>0</v>
      </c>
      <c r="D33" s="11" t="n">
        <v>0</v>
      </c>
      <c r="E33" s="11" t="n">
        <v>-0</v>
      </c>
      <c r="F33" s="11" t="n">
        <v>0</v>
      </c>
    </row>
  </sheetData>
  <mergeCells count="6">
    <mergeCell ref="A24:F24"/>
    <mergeCell ref="A13:F13"/>
    <mergeCell ref="A1:F1"/>
    <mergeCell ref="A9:F9"/>
    <mergeCell ref="A17:F17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Depreciation Chart (WDV Method)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Building  (5%)</t>
        </is>
      </c>
      <c r="B4" s="13" t="n">
        <v>1000000</v>
      </c>
      <c r="C4" s="13" t="n">
        <v>950000</v>
      </c>
      <c r="D4" s="13" t="n">
        <v>902500</v>
      </c>
      <c r="E4" s="13" t="n">
        <v>857375</v>
      </c>
      <c r="F4" s="13" t="n">
        <v>814506.25</v>
      </c>
    </row>
    <row r="5">
      <c r="A5" s="10" t="inlineStr">
        <is>
          <t xml:space="preserve">  Less: Depreciation</t>
        </is>
      </c>
      <c r="B5" s="11" t="n">
        <v>50000</v>
      </c>
      <c r="C5" s="11" t="n">
        <v>47500</v>
      </c>
      <c r="D5" s="11" t="n">
        <v>45125</v>
      </c>
      <c r="E5" s="11" t="n">
        <v>42868.75</v>
      </c>
      <c r="F5" s="11" t="n">
        <v>40725.31</v>
      </c>
    </row>
    <row r="6">
      <c r="A6" s="10" t="inlineStr">
        <is>
          <t xml:space="preserve">  Written Down Value</t>
        </is>
      </c>
      <c r="B6" s="11" t="n">
        <v>950000</v>
      </c>
      <c r="C6" s="11" t="n">
        <v>902500</v>
      </c>
      <c r="D6" s="11" t="n">
        <v>857375</v>
      </c>
      <c r="E6" s="11" t="n">
        <v>814506.25</v>
      </c>
      <c r="F6" s="11" t="n">
        <v>773780.9399999999</v>
      </c>
    </row>
    <row r="7">
      <c r="A7" s="12" t="inlineStr">
        <is>
          <t>Furniture &amp; Fixtures  (10%)</t>
        </is>
      </c>
      <c r="B7" s="13" t="n">
        <v>50000</v>
      </c>
      <c r="C7" s="13" t="n">
        <v>45000</v>
      </c>
      <c r="D7" s="13" t="n">
        <v>40500</v>
      </c>
      <c r="E7" s="13" t="n">
        <v>36450</v>
      </c>
      <c r="F7" s="13" t="n">
        <v>32805</v>
      </c>
    </row>
    <row r="8">
      <c r="A8" s="10" t="inlineStr">
        <is>
          <t xml:space="preserve">  Less: Depreciation</t>
        </is>
      </c>
      <c r="B8" s="11" t="n">
        <v>5000</v>
      </c>
      <c r="C8" s="11" t="n">
        <v>4500</v>
      </c>
      <c r="D8" s="11" t="n">
        <v>4050</v>
      </c>
      <c r="E8" s="11" t="n">
        <v>3645</v>
      </c>
      <c r="F8" s="11" t="n">
        <v>3280.5</v>
      </c>
    </row>
    <row r="9">
      <c r="A9" s="10" t="inlineStr">
        <is>
          <t xml:space="preserve">  Written Down Value</t>
        </is>
      </c>
      <c r="B9" s="11" t="n">
        <v>45000</v>
      </c>
      <c r="C9" s="11" t="n">
        <v>40500</v>
      </c>
      <c r="D9" s="11" t="n">
        <v>36450</v>
      </c>
      <c r="E9" s="11" t="n">
        <v>32805</v>
      </c>
      <c r="F9" s="11" t="n">
        <v>29524.5</v>
      </c>
    </row>
    <row r="10">
      <c r="A10" s="12" t="inlineStr">
        <is>
          <t>Plant &amp; Machinery  (10%)</t>
        </is>
      </c>
      <c r="B10" s="13" t="n">
        <v>1200000</v>
      </c>
      <c r="C10" s="13" t="n">
        <v>1080000</v>
      </c>
      <c r="D10" s="13" t="n">
        <v>972000</v>
      </c>
      <c r="E10" s="13" t="n">
        <v>874800</v>
      </c>
      <c r="F10" s="13" t="n">
        <v>787320</v>
      </c>
    </row>
    <row r="11">
      <c r="A11" s="10" t="inlineStr">
        <is>
          <t xml:space="preserve">  Less: Depreciation</t>
        </is>
      </c>
      <c r="B11" s="11" t="n">
        <v>120000</v>
      </c>
      <c r="C11" s="11" t="n">
        <v>108000</v>
      </c>
      <c r="D11" s="11" t="n">
        <v>97200</v>
      </c>
      <c r="E11" s="11" t="n">
        <v>87480</v>
      </c>
      <c r="F11" s="11" t="n">
        <v>78732</v>
      </c>
    </row>
    <row r="12">
      <c r="A12" s="10" t="inlineStr">
        <is>
          <t xml:space="preserve">  Written Down Value</t>
        </is>
      </c>
      <c r="B12" s="11" t="n">
        <v>1080000</v>
      </c>
      <c r="C12" s="11" t="n">
        <v>972000</v>
      </c>
      <c r="D12" s="11" t="n">
        <v>874800</v>
      </c>
      <c r="E12" s="11" t="n">
        <v>787320</v>
      </c>
      <c r="F12" s="11" t="n">
        <v>708588</v>
      </c>
    </row>
    <row r="13">
      <c r="A13" s="12" t="inlineStr">
        <is>
          <t>Computers  (40%)</t>
        </is>
      </c>
      <c r="B13" s="13" t="n">
        <v>40000</v>
      </c>
      <c r="C13" s="13" t="n">
        <v>24000</v>
      </c>
      <c r="D13" s="13" t="n">
        <v>14400</v>
      </c>
      <c r="E13" s="13" t="n">
        <v>8640</v>
      </c>
      <c r="F13" s="13" t="n">
        <v>5184</v>
      </c>
    </row>
    <row r="14">
      <c r="A14" s="10" t="inlineStr">
        <is>
          <t xml:space="preserve">  Less: Depreciation</t>
        </is>
      </c>
      <c r="B14" s="11" t="n">
        <v>16000</v>
      </c>
      <c r="C14" s="11" t="n">
        <v>9600</v>
      </c>
      <c r="D14" s="11" t="n">
        <v>5760</v>
      </c>
      <c r="E14" s="11" t="n">
        <v>3456</v>
      </c>
      <c r="F14" s="11" t="n">
        <v>2073.6</v>
      </c>
    </row>
    <row r="15">
      <c r="A15" s="10" t="inlineStr">
        <is>
          <t xml:space="preserve">  Written Down Value</t>
        </is>
      </c>
      <c r="B15" s="11" t="n">
        <v>24000</v>
      </c>
      <c r="C15" s="11" t="n">
        <v>14400</v>
      </c>
      <c r="D15" s="11" t="n">
        <v>8640</v>
      </c>
      <c r="E15" s="11" t="n">
        <v>5184</v>
      </c>
      <c r="F15" s="11" t="n">
        <v>3110.4</v>
      </c>
    </row>
    <row r="16">
      <c r="A16" s="12" t="inlineStr">
        <is>
          <t>Office Equipment  (10%)</t>
        </is>
      </c>
      <c r="B16" s="13" t="n">
        <v>60000</v>
      </c>
      <c r="C16" s="13" t="n">
        <v>54000</v>
      </c>
      <c r="D16" s="13" t="n">
        <v>48600</v>
      </c>
      <c r="E16" s="13" t="n">
        <v>43740</v>
      </c>
      <c r="F16" s="13" t="n">
        <v>39366</v>
      </c>
    </row>
    <row r="17">
      <c r="A17" s="10" t="inlineStr">
        <is>
          <t xml:space="preserve">  Less: Depreciation</t>
        </is>
      </c>
      <c r="B17" s="11" t="n">
        <v>6000</v>
      </c>
      <c r="C17" s="11" t="n">
        <v>5400</v>
      </c>
      <c r="D17" s="11" t="n">
        <v>4860</v>
      </c>
      <c r="E17" s="11" t="n">
        <v>4374</v>
      </c>
      <c r="F17" s="11" t="n">
        <v>3936.6</v>
      </c>
    </row>
    <row r="18">
      <c r="A18" s="10" t="inlineStr">
        <is>
          <t xml:space="preserve">  Written Down Value</t>
        </is>
      </c>
      <c r="B18" s="11" t="n">
        <v>54000</v>
      </c>
      <c r="C18" s="11" t="n">
        <v>48600</v>
      </c>
      <c r="D18" s="11" t="n">
        <v>43740</v>
      </c>
      <c r="E18" s="11" t="n">
        <v>39366</v>
      </c>
      <c r="F18" s="11" t="n">
        <v>35429.4</v>
      </c>
    </row>
    <row r="19">
      <c r="A19" s="12" t="inlineStr">
        <is>
          <t>TOTAL Opening (Gross Block)</t>
        </is>
      </c>
      <c r="B19" s="13" t="n">
        <v>2350000</v>
      </c>
      <c r="C19" s="13" t="n">
        <v>2153000</v>
      </c>
      <c r="D19" s="13" t="n">
        <v>1978000</v>
      </c>
      <c r="E19" s="13" t="n">
        <v>1821005</v>
      </c>
      <c r="F19" s="13" t="n">
        <v>1679181.25</v>
      </c>
    </row>
    <row r="20">
      <c r="A20" s="12" t="inlineStr">
        <is>
          <t>TOTAL Depreciation for Year</t>
        </is>
      </c>
      <c r="B20" s="13" t="n">
        <v>197000</v>
      </c>
      <c r="C20" s="13" t="n">
        <v>175000</v>
      </c>
      <c r="D20" s="13" t="n">
        <v>156995</v>
      </c>
      <c r="E20" s="13" t="n">
        <v>141823.75</v>
      </c>
      <c r="F20" s="13" t="n">
        <v>128748.01</v>
      </c>
    </row>
    <row r="21">
      <c r="A21" s="12" t="inlineStr">
        <is>
          <t>TOTAL Written Down Value (Net Block)</t>
        </is>
      </c>
      <c r="B21" s="13" t="n">
        <v>2153000</v>
      </c>
      <c r="C21" s="13" t="n">
        <v>1978000</v>
      </c>
      <c r="D21" s="13" t="n">
        <v>1821005</v>
      </c>
      <c r="E21" s="13" t="n">
        <v>1679181.25</v>
      </c>
      <c r="F21" s="13" t="n">
        <v>1550433.24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Form IV - Comparative Statement of Current Assets &amp; Liabilities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A. CURRENT ASSETS</t>
        </is>
      </c>
    </row>
    <row r="5">
      <c r="A5" s="10" t="inlineStr">
        <is>
          <t xml:space="preserve">  1. Raw Material</t>
        </is>
      </c>
      <c r="B5" s="11" t="n">
        <v>328438.36</v>
      </c>
      <c r="C5" s="11" t="n">
        <v>354713.42</v>
      </c>
      <c r="D5" s="11" t="n">
        <v>383090.5</v>
      </c>
      <c r="E5" s="11" t="n">
        <v>413737.74</v>
      </c>
      <c r="F5" s="11" t="n">
        <v>446836.76</v>
      </c>
    </row>
    <row r="6">
      <c r="A6" s="10" t="inlineStr">
        <is>
          <t xml:space="preserve">  2. Work-in-Progress</t>
        </is>
      </c>
      <c r="B6" s="11" t="n">
        <v>171424.66</v>
      </c>
      <c r="C6" s="11" t="n">
        <v>184104.11</v>
      </c>
      <c r="D6" s="11" t="n">
        <v>197955.59</v>
      </c>
      <c r="E6" s="11" t="n">
        <v>213032.29</v>
      </c>
      <c r="F6" s="11" t="n">
        <v>229405.78</v>
      </c>
    </row>
    <row r="7">
      <c r="A7" s="10" t="inlineStr">
        <is>
          <t xml:space="preserve">  3. Finished Goods</t>
        </is>
      </c>
      <c r="B7" s="11" t="n">
        <v>257136.99</v>
      </c>
      <c r="C7" s="11" t="n">
        <v>276156.16</v>
      </c>
      <c r="D7" s="11" t="n">
        <v>296933.38</v>
      </c>
      <c r="E7" s="11" t="n">
        <v>319548.43</v>
      </c>
      <c r="F7" s="11" t="n">
        <v>344108.68</v>
      </c>
    </row>
    <row r="8">
      <c r="A8" s="10" t="inlineStr">
        <is>
          <t xml:space="preserve">  4. Receivables (Debtors)</t>
        </is>
      </c>
      <c r="B8" s="11" t="n">
        <v>650367.12</v>
      </c>
      <c r="C8" s="11" t="n">
        <v>702396.49</v>
      </c>
      <c r="D8" s="11" t="n">
        <v>758588.21</v>
      </c>
      <c r="E8" s="11" t="n">
        <v>819275.27</v>
      </c>
      <c r="F8" s="11" t="n">
        <v>884817.29</v>
      </c>
    </row>
    <row r="9">
      <c r="A9" s="10" t="inlineStr">
        <is>
          <t xml:space="preserve">  5. Cash &amp; Bank</t>
        </is>
      </c>
      <c r="B9" s="11" t="n">
        <v>1155908.68</v>
      </c>
      <c r="C9" s="11" t="n">
        <v>1548084.8</v>
      </c>
      <c r="D9" s="11" t="n">
        <v>2049733.23</v>
      </c>
      <c r="E9" s="11" t="n">
        <v>2669354.74</v>
      </c>
      <c r="F9" s="11" t="n">
        <v>3415893.96</v>
      </c>
    </row>
    <row r="10">
      <c r="A10" s="12" t="inlineStr">
        <is>
          <t xml:space="preserve">  TOTAL CURRENT ASSETS</t>
        </is>
      </c>
      <c r="B10" s="13" t="n">
        <v>2563275.81</v>
      </c>
      <c r="C10" s="13" t="n">
        <v>3065454.99</v>
      </c>
      <c r="D10" s="13" t="n">
        <v>3686300.92</v>
      </c>
      <c r="E10" s="13" t="n">
        <v>4434948.47</v>
      </c>
      <c r="F10" s="13" t="n">
        <v>5321062.47</v>
      </c>
    </row>
    <row r="11">
      <c r="A11" s="9" t="inlineStr">
        <is>
          <t>B. CURRENT LIABILITIES</t>
        </is>
      </c>
    </row>
    <row r="12">
      <c r="A12" s="10" t="inlineStr">
        <is>
          <t xml:space="preserve">  6. Sundry Creditors</t>
        </is>
      </c>
      <c r="B12" s="11" t="n">
        <v>328438.36</v>
      </c>
      <c r="C12" s="11" t="n">
        <v>354713.42</v>
      </c>
      <c r="D12" s="11" t="n">
        <v>383090.5</v>
      </c>
      <c r="E12" s="11" t="n">
        <v>413737.74</v>
      </c>
      <c r="F12" s="11" t="n">
        <v>446836.76</v>
      </c>
    </row>
    <row r="13">
      <c r="A13" s="10" t="inlineStr">
        <is>
          <t xml:space="preserve">  7. WC Bank Borrowing</t>
        </is>
      </c>
      <c r="B13" s="11" t="n">
        <v>700000</v>
      </c>
      <c r="C13" s="11" t="n">
        <v>700000</v>
      </c>
      <c r="D13" s="11" t="n">
        <v>700000</v>
      </c>
      <c r="E13" s="11" t="n">
        <v>700000</v>
      </c>
      <c r="F13" s="11" t="n">
        <v>700000</v>
      </c>
    </row>
    <row r="14">
      <c r="A14" s="10" t="inlineStr">
        <is>
          <t xml:space="preserve">  8. Instalments of Term Loan due within 1 yr (CPTL)</t>
        </is>
      </c>
      <c r="B14" s="11" t="n">
        <v>161953.85</v>
      </c>
      <c r="C14" s="11" t="n">
        <v>323907.69</v>
      </c>
      <c r="D14" s="11" t="n">
        <v>323907.69</v>
      </c>
      <c r="E14" s="11" t="n">
        <v>323907.69</v>
      </c>
      <c r="F14" s="11" t="n">
        <v>323907.69</v>
      </c>
    </row>
    <row r="15">
      <c r="A15" s="12" t="inlineStr">
        <is>
          <t xml:space="preserve">  TOTAL CURRENT LIABILITIES</t>
        </is>
      </c>
      <c r="B15" s="13" t="n">
        <v>1190392.21</v>
      </c>
      <c r="C15" s="13" t="n">
        <v>1378621.11</v>
      </c>
      <c r="D15" s="13" t="n">
        <v>1406998.19</v>
      </c>
      <c r="E15" s="13" t="n">
        <v>1437645.43</v>
      </c>
      <c r="F15" s="13" t="n">
        <v>1470744.45</v>
      </c>
    </row>
  </sheetData>
  <mergeCells count="3">
    <mergeCell ref="A11:F11"/>
    <mergeCell ref="A1:F1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Ratio Analysis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PROFITABILITY</t>
        </is>
      </c>
    </row>
    <row r="5">
      <c r="A5" s="10" t="inlineStr">
        <is>
          <t>Gross Profit Ratio (%)</t>
        </is>
      </c>
      <c r="B5" s="14" t="n">
        <v>49.5</v>
      </c>
      <c r="C5" s="14" t="n">
        <v>49.5</v>
      </c>
      <c r="D5" s="14" t="n">
        <v>49.5</v>
      </c>
      <c r="E5" s="14" t="n">
        <v>49.5</v>
      </c>
      <c r="F5" s="14" t="n">
        <v>49.5</v>
      </c>
    </row>
    <row r="6">
      <c r="A6" s="10" t="inlineStr">
        <is>
          <t>Net Profit Ratio (%)</t>
        </is>
      </c>
      <c r="B6" s="14" t="n">
        <v>6.06</v>
      </c>
      <c r="C6" s="14" t="n">
        <v>7.08</v>
      </c>
      <c r="D6" s="14" t="n">
        <v>8.01</v>
      </c>
      <c r="E6" s="14" t="n">
        <v>8.83</v>
      </c>
      <c r="F6" s="14" t="n">
        <v>9.550000000000001</v>
      </c>
    </row>
    <row r="7">
      <c r="A7" s="10" t="inlineStr">
        <is>
          <t>Return on Capital Employed (%)</t>
        </is>
      </c>
      <c r="B7" s="14" t="n">
        <v>22.34</v>
      </c>
      <c r="C7" s="14" t="n">
        <v>24.04</v>
      </c>
      <c r="D7" s="14" t="n">
        <v>24.93</v>
      </c>
      <c r="E7" s="14" t="n">
        <v>25.12</v>
      </c>
      <c r="F7" s="14" t="n">
        <v>24.81</v>
      </c>
    </row>
    <row r="8">
      <c r="A8" s="9" t="inlineStr">
        <is>
          <t>LIQUIDITY</t>
        </is>
      </c>
    </row>
    <row r="9">
      <c r="A9" s="10" t="inlineStr">
        <is>
          <t>Current Ratio</t>
        </is>
      </c>
      <c r="B9" s="14" t="n">
        <v>2.15</v>
      </c>
      <c r="C9" s="14" t="n">
        <v>2.22</v>
      </c>
      <c r="D9" s="14" t="n">
        <v>2.62</v>
      </c>
      <c r="E9" s="14" t="n">
        <v>3.08</v>
      </c>
      <c r="F9" s="14" t="n">
        <v>3.62</v>
      </c>
    </row>
    <row r="10">
      <c r="A10" s="10" t="inlineStr">
        <is>
          <t>Quick Ratio</t>
        </is>
      </c>
      <c r="B10" s="14" t="n">
        <v>1.52</v>
      </c>
      <c r="C10" s="14" t="n">
        <v>1.63</v>
      </c>
      <c r="D10" s="14" t="n">
        <v>2</v>
      </c>
      <c r="E10" s="14" t="n">
        <v>2.43</v>
      </c>
      <c r="F10" s="14" t="n">
        <v>2.92</v>
      </c>
    </row>
    <row r="11">
      <c r="A11" s="9" t="inlineStr">
        <is>
          <t>SOLVENCY</t>
        </is>
      </c>
    </row>
    <row r="12">
      <c r="A12" s="10" t="inlineStr">
        <is>
          <t>Debt-Equity Ratio (Term Debt / TNW)</t>
        </is>
      </c>
      <c r="B12" s="14" t="n">
        <v>1.03</v>
      </c>
      <c r="C12" s="14" t="n">
        <v>0.64</v>
      </c>
      <c r="D12" s="14" t="n">
        <v>0.4</v>
      </c>
      <c r="E12" s="14" t="n">
        <v>0.23</v>
      </c>
      <c r="F12" s="14" t="n">
        <v>0.12</v>
      </c>
    </row>
    <row r="13">
      <c r="A13" s="10" t="inlineStr">
        <is>
          <t>TOL / TNW</t>
        </is>
      </c>
      <c r="B13" s="14" t="n">
        <v>1.57</v>
      </c>
      <c r="C13" s="14" t="n">
        <v>1.06</v>
      </c>
      <c r="D13" s="14" t="n">
        <v>0.73</v>
      </c>
      <c r="E13" s="14" t="n">
        <v>0.5</v>
      </c>
      <c r="F13" s="14" t="n">
        <v>0.34</v>
      </c>
    </row>
    <row r="14">
      <c r="A14" s="10" t="inlineStr">
        <is>
          <t>TTL / TNW</t>
        </is>
      </c>
      <c r="B14" s="14" t="n">
        <v>1.03</v>
      </c>
      <c r="C14" s="14" t="n">
        <v>0.64</v>
      </c>
      <c r="D14" s="14" t="n">
        <v>0.4</v>
      </c>
      <c r="E14" s="14" t="n">
        <v>0.23</v>
      </c>
      <c r="F14" s="14" t="n">
        <v>0.12</v>
      </c>
    </row>
    <row r="15">
      <c r="A15" s="10" t="inlineStr">
        <is>
          <t>Interest Coverage Ratio</t>
        </is>
      </c>
      <c r="B15" s="14" t="n">
        <v>3.94</v>
      </c>
      <c r="C15" s="14" t="n">
        <v>4.82</v>
      </c>
      <c r="D15" s="14" t="n">
        <v>6.1</v>
      </c>
      <c r="E15" s="14" t="n">
        <v>7.88</v>
      </c>
      <c r="F15" s="14" t="n">
        <v>10.5</v>
      </c>
    </row>
    <row r="16">
      <c r="A16" s="9" t="inlineStr">
        <is>
          <t>EFFICIENCY (TURNOVER)</t>
        </is>
      </c>
    </row>
    <row r="17">
      <c r="A17" s="10" t="inlineStr">
        <is>
          <t>Stock Turnover Ratio</t>
        </is>
      </c>
      <c r="B17" s="14" t="n">
        <v>10.45</v>
      </c>
      <c r="C17" s="14" t="n">
        <v>10.49</v>
      </c>
      <c r="D17" s="14" t="n">
        <v>10.51</v>
      </c>
      <c r="E17" s="14" t="n">
        <v>10.53</v>
      </c>
      <c r="F17" s="14" t="n">
        <v>10.55</v>
      </c>
    </row>
    <row r="18">
      <c r="A18" s="10" t="inlineStr">
        <is>
          <t>Total Assets Turnover Ratio</t>
        </is>
      </c>
      <c r="B18" s="14" t="n">
        <v>1.59</v>
      </c>
      <c r="C18" s="14" t="n">
        <v>1.62</v>
      </c>
      <c r="D18" s="14" t="n">
        <v>1.61</v>
      </c>
      <c r="E18" s="14" t="n">
        <v>1.58</v>
      </c>
      <c r="F18" s="14" t="n">
        <v>1.53</v>
      </c>
    </row>
    <row r="19">
      <c r="A19" s="10" t="inlineStr">
        <is>
          <t>Fixed Assets Turnover Ratio</t>
        </is>
      </c>
      <c r="B19" s="14" t="n">
        <v>3.44</v>
      </c>
      <c r="C19" s="14" t="n">
        <v>4.02</v>
      </c>
      <c r="D19" s="14" t="n">
        <v>4.68</v>
      </c>
      <c r="E19" s="14" t="n">
        <v>5.45</v>
      </c>
      <c r="F19" s="14" t="n">
        <v>6.33</v>
      </c>
    </row>
    <row r="20">
      <c r="A20" s="10" t="inlineStr">
        <is>
          <t>Working Capital Turnover Ratio</t>
        </is>
      </c>
      <c r="B20" s="14" t="n">
        <v>5.76</v>
      </c>
      <c r="C20" s="14" t="n">
        <v>5.07</v>
      </c>
      <c r="D20" s="14" t="n">
        <v>4.05</v>
      </c>
      <c r="E20" s="14" t="n">
        <v>3.33</v>
      </c>
      <c r="F20" s="14" t="n">
        <v>2.8</v>
      </c>
    </row>
    <row r="21">
      <c r="A21" s="10" t="inlineStr">
        <is>
          <t>Inventory Holding Period (days)</t>
        </is>
      </c>
      <c r="B21" s="14" t="n">
        <v>69.15000000000001</v>
      </c>
      <c r="C21" s="14" t="n">
        <v>68.93000000000001</v>
      </c>
      <c r="D21" s="14" t="n">
        <v>68.75</v>
      </c>
      <c r="E21" s="14" t="n">
        <v>68.62</v>
      </c>
      <c r="F21" s="14" t="n">
        <v>68.5</v>
      </c>
    </row>
    <row r="22">
      <c r="A22" s="10" t="inlineStr">
        <is>
          <t>Average Collection Period (days)</t>
        </is>
      </c>
      <c r="B22" s="14" t="n">
        <v>30</v>
      </c>
      <c r="C22" s="14" t="n">
        <v>30</v>
      </c>
      <c r="D22" s="14" t="n">
        <v>30</v>
      </c>
      <c r="E22" s="14" t="n">
        <v>30</v>
      </c>
      <c r="F22" s="14" t="n">
        <v>30</v>
      </c>
    </row>
    <row r="23">
      <c r="A23" s="10" t="inlineStr">
        <is>
          <t>Average Credit Period (days)</t>
        </is>
      </c>
      <c r="B23" s="14" t="n">
        <v>30</v>
      </c>
      <c r="C23" s="14" t="n">
        <v>30</v>
      </c>
      <c r="D23" s="14" t="n">
        <v>30</v>
      </c>
      <c r="E23" s="14" t="n">
        <v>30</v>
      </c>
      <c r="F23" s="14" t="n">
        <v>30</v>
      </c>
    </row>
    <row r="24">
      <c r="A24" s="9" t="inlineStr">
        <is>
          <t>GROWTH (YoY)</t>
        </is>
      </c>
    </row>
    <row r="25">
      <c r="A25" s="10" t="inlineStr">
        <is>
          <t>Growth in Net Sales (%)</t>
        </is>
      </c>
      <c r="B25" s="14" t="inlineStr">
        <is>
          <t>N/A</t>
        </is>
      </c>
      <c r="C25" s="14" t="n">
        <v>8</v>
      </c>
      <c r="D25" s="14" t="n">
        <v>8</v>
      </c>
      <c r="E25" s="14" t="n">
        <v>8</v>
      </c>
      <c r="F25" s="14" t="n">
        <v>8</v>
      </c>
    </row>
    <row r="26">
      <c r="A26" s="10" t="inlineStr">
        <is>
          <t>Growth in Net Profit (%)</t>
        </is>
      </c>
      <c r="B26" s="14" t="inlineStr">
        <is>
          <t>N/A</t>
        </is>
      </c>
      <c r="C26" s="14" t="n">
        <v>26.06</v>
      </c>
      <c r="D26" s="14" t="n">
        <v>22.25</v>
      </c>
      <c r="E26" s="14" t="n">
        <v>19.03</v>
      </c>
      <c r="F26" s="14" t="n">
        <v>16.83</v>
      </c>
    </row>
    <row r="27">
      <c r="A27" s="10" t="inlineStr">
        <is>
          <t>Growth in Net Worth (%)</t>
        </is>
      </c>
      <c r="B27" s="14" t="inlineStr">
        <is>
          <t>N/A</t>
        </is>
      </c>
      <c r="C27" s="14" t="n">
        <v>30.17</v>
      </c>
      <c r="D27" s="14" t="n">
        <v>28.34</v>
      </c>
      <c r="E27" s="14" t="n">
        <v>26.28</v>
      </c>
      <c r="F27" s="14" t="n">
        <v>24.31</v>
      </c>
    </row>
    <row r="28">
      <c r="A28" s="9" t="inlineStr">
        <is>
          <t>ADDITIONAL</t>
        </is>
      </c>
    </row>
    <row r="29">
      <c r="A29" s="10" t="inlineStr">
        <is>
          <t>Tangible Net Worth</t>
        </is>
      </c>
      <c r="B29" s="11" t="n">
        <v>1894391.3</v>
      </c>
      <c r="C29" s="11" t="n">
        <v>2519203.11</v>
      </c>
      <c r="D29" s="11" t="n">
        <v>3278584.65</v>
      </c>
      <c r="E29" s="11" t="n">
        <v>4178668.9</v>
      </c>
      <c r="F29" s="11" t="n">
        <v>5226843.57</v>
      </c>
    </row>
    <row r="30">
      <c r="A30" s="10" t="inlineStr">
        <is>
          <t>Net Working Capital</t>
        </is>
      </c>
      <c r="B30" s="11" t="n">
        <v>1372883.6</v>
      </c>
      <c r="C30" s="11" t="n">
        <v>1686833.88</v>
      </c>
      <c r="D30" s="11" t="n">
        <v>2279302.73</v>
      </c>
      <c r="E30" s="11" t="n">
        <v>2997303.04</v>
      </c>
      <c r="F30" s="11" t="n">
        <v>3850318.02</v>
      </c>
    </row>
  </sheetData>
  <mergeCells count="7">
    <mergeCell ref="A24:F24"/>
    <mergeCell ref="A16:F16"/>
    <mergeCell ref="A11:F11"/>
    <mergeCell ref="A28:F28"/>
    <mergeCell ref="A1:F1"/>
    <mergeCell ref="A8:F8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Turnover Method (Nayak Committee)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A. Turnover</t>
        </is>
      </c>
      <c r="B4" s="13" t="n">
        <v>7912800</v>
      </c>
      <c r="C4" s="13" t="n">
        <v>8545824</v>
      </c>
      <c r="D4" s="13" t="n">
        <v>9229489.92</v>
      </c>
      <c r="E4" s="13" t="n">
        <v>9967849.109999999</v>
      </c>
      <c r="F4" s="13" t="n">
        <v>10765277.04</v>
      </c>
    </row>
    <row r="5">
      <c r="A5" s="10" t="inlineStr">
        <is>
          <t>B. 25% of Turnover</t>
        </is>
      </c>
      <c r="B5" s="11" t="n">
        <v>1978200</v>
      </c>
      <c r="C5" s="11" t="n">
        <v>2136456</v>
      </c>
      <c r="D5" s="11" t="n">
        <v>2307372.48</v>
      </c>
      <c r="E5" s="11" t="n">
        <v>2491962.28</v>
      </c>
      <c r="F5" s="11" t="n">
        <v>2691319.26</v>
      </c>
    </row>
    <row r="6">
      <c r="A6" s="10" t="inlineStr">
        <is>
          <t>C. Margin @ 5% of Turnover</t>
        </is>
      </c>
      <c r="B6" s="11" t="n">
        <v>395640</v>
      </c>
      <c r="C6" s="11" t="n">
        <v>427291.2</v>
      </c>
      <c r="D6" s="11" t="n">
        <v>461474.5</v>
      </c>
      <c r="E6" s="11" t="n">
        <v>498392.46</v>
      </c>
      <c r="F6" s="11" t="n">
        <v>538263.85</v>
      </c>
    </row>
    <row r="7">
      <c r="A7" s="10" t="inlineStr">
        <is>
          <t>D. Actual / Projected NWC</t>
        </is>
      </c>
      <c r="B7" s="11" t="n">
        <v>1534837.45</v>
      </c>
      <c r="C7" s="11" t="n">
        <v>2010741.57</v>
      </c>
      <c r="D7" s="11" t="n">
        <v>2603210.42</v>
      </c>
      <c r="E7" s="11" t="n">
        <v>3321210.73</v>
      </c>
      <c r="F7" s="11" t="n">
        <v>4174225.71</v>
      </c>
    </row>
    <row r="8">
      <c r="A8" s="10" t="inlineStr">
        <is>
          <t>E. (B - C)</t>
        </is>
      </c>
      <c r="B8" s="11" t="n">
        <v>1582560</v>
      </c>
      <c r="C8" s="11" t="n">
        <v>1709164.8</v>
      </c>
      <c r="D8" s="11" t="n">
        <v>1845897.98</v>
      </c>
      <c r="E8" s="11" t="n">
        <v>1993569.82</v>
      </c>
      <c r="F8" s="11" t="n">
        <v>2153055.41</v>
      </c>
    </row>
    <row r="9">
      <c r="A9" s="10" t="inlineStr">
        <is>
          <t>F. (B - D)</t>
        </is>
      </c>
      <c r="B9" s="11" t="n">
        <v>443362.55</v>
      </c>
      <c r="C9" s="11" t="n">
        <v>125714.43</v>
      </c>
      <c r="D9" s="11" t="n">
        <v>-295837.94</v>
      </c>
      <c r="E9" s="11" t="n">
        <v>-829248.45</v>
      </c>
      <c r="F9" s="11" t="n">
        <v>-1482906.45</v>
      </c>
    </row>
    <row r="10">
      <c r="A10" s="12" t="inlineStr">
        <is>
          <t>G. MPBF (lower of E or F)</t>
        </is>
      </c>
      <c r="B10" s="13" t="n">
        <v>443362.55</v>
      </c>
      <c r="C10" s="13" t="n">
        <v>125714.43</v>
      </c>
      <c r="D10" s="13" t="n">
        <v>0</v>
      </c>
      <c r="E10" s="13" t="n">
        <v>0</v>
      </c>
      <c r="F10" s="13" t="n">
        <v>0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Maximum Permissible Bank Finance (Tandon)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FIRST METHOD OF LENDING</t>
        </is>
      </c>
    </row>
    <row r="5">
      <c r="A5" s="10" t="inlineStr">
        <is>
          <t>1. Total Current Assets</t>
        </is>
      </c>
      <c r="B5" s="11" t="n">
        <v>2563275.81</v>
      </c>
      <c r="C5" s="11" t="n">
        <v>3065454.99</v>
      </c>
      <c r="D5" s="11" t="n">
        <v>3686300.92</v>
      </c>
      <c r="E5" s="11" t="n">
        <v>4434948.47</v>
      </c>
      <c r="F5" s="11" t="n">
        <v>5321062.47</v>
      </c>
    </row>
    <row r="6">
      <c r="A6" s="10" t="inlineStr">
        <is>
          <t>2. Other Current Liabilities</t>
        </is>
      </c>
      <c r="B6" s="11" t="n">
        <v>328438.36</v>
      </c>
      <c r="C6" s="11" t="n">
        <v>354713.42</v>
      </c>
      <c r="D6" s="11" t="n">
        <v>383090.5</v>
      </c>
      <c r="E6" s="11" t="n">
        <v>413737.74</v>
      </c>
      <c r="F6" s="11" t="n">
        <v>446836.76</v>
      </c>
    </row>
    <row r="7">
      <c r="A7" s="10" t="inlineStr">
        <is>
          <t>3. Working Capital Gap (1-2)</t>
        </is>
      </c>
      <c r="B7" s="11" t="n">
        <v>2234837.45</v>
      </c>
      <c r="C7" s="11" t="n">
        <v>2710741.57</v>
      </c>
      <c r="D7" s="11" t="n">
        <v>3303210.42</v>
      </c>
      <c r="E7" s="11" t="n">
        <v>4021210.73</v>
      </c>
      <c r="F7" s="11" t="n">
        <v>4874225.71</v>
      </c>
    </row>
    <row r="8">
      <c r="A8" s="10" t="inlineStr">
        <is>
          <t>4. Min Stipulated NWC (25% of Gap)</t>
        </is>
      </c>
      <c r="B8" s="11" t="n">
        <v>558709.36</v>
      </c>
      <c r="C8" s="11" t="n">
        <v>677685.39</v>
      </c>
      <c r="D8" s="11" t="n">
        <v>825802.6</v>
      </c>
      <c r="E8" s="11" t="n">
        <v>1005302.68</v>
      </c>
      <c r="F8" s="11" t="n">
        <v>1218556.43</v>
      </c>
    </row>
    <row r="9">
      <c r="A9" s="10" t="inlineStr">
        <is>
          <t>5. Actual / Projected NWC</t>
        </is>
      </c>
      <c r="B9" s="11" t="n">
        <v>1534837.45</v>
      </c>
      <c r="C9" s="11" t="n">
        <v>2010741.57</v>
      </c>
      <c r="D9" s="11" t="n">
        <v>2603210.42</v>
      </c>
      <c r="E9" s="11" t="n">
        <v>3321210.73</v>
      </c>
      <c r="F9" s="11" t="n">
        <v>4174225.71</v>
      </c>
    </row>
    <row r="10">
      <c r="A10" s="10" t="inlineStr">
        <is>
          <t>6. Item 3 - Item 4</t>
        </is>
      </c>
      <c r="B10" s="11" t="n">
        <v>1676128.09</v>
      </c>
      <c r="C10" s="11" t="n">
        <v>2033056.18</v>
      </c>
      <c r="D10" s="11" t="n">
        <v>2477407.82</v>
      </c>
      <c r="E10" s="11" t="n">
        <v>3015908.05</v>
      </c>
      <c r="F10" s="11" t="n">
        <v>3655669.28</v>
      </c>
    </row>
    <row r="11">
      <c r="A11" s="10" t="inlineStr">
        <is>
          <t>7. Item 3 - Item 5</t>
        </is>
      </c>
      <c r="B11" s="11" t="n">
        <v>700000</v>
      </c>
      <c r="C11" s="11" t="n">
        <v>700000</v>
      </c>
      <c r="D11" s="11" t="n">
        <v>700000</v>
      </c>
      <c r="E11" s="11" t="n">
        <v>700000</v>
      </c>
      <c r="F11" s="11" t="n">
        <v>700000</v>
      </c>
    </row>
    <row r="12">
      <c r="A12" s="12" t="inlineStr">
        <is>
          <t>8. MPBF First Method</t>
        </is>
      </c>
      <c r="B12" s="13" t="n">
        <v>700000</v>
      </c>
      <c r="C12" s="13" t="n">
        <v>700000</v>
      </c>
      <c r="D12" s="13" t="n">
        <v>700000</v>
      </c>
      <c r="E12" s="13" t="n">
        <v>700000</v>
      </c>
      <c r="F12" s="13" t="n">
        <v>700000</v>
      </c>
    </row>
    <row r="13">
      <c r="A13" s="9" t="inlineStr">
        <is>
          <t>SECOND METHOD OF LENDING</t>
        </is>
      </c>
    </row>
    <row r="14">
      <c r="A14" s="10" t="inlineStr">
        <is>
          <t>1. Total Current Assets</t>
        </is>
      </c>
      <c r="B14" s="11" t="n">
        <v>2563275.81</v>
      </c>
      <c r="C14" s="11" t="n">
        <v>3065454.99</v>
      </c>
      <c r="D14" s="11" t="n">
        <v>3686300.92</v>
      </c>
      <c r="E14" s="11" t="n">
        <v>4434948.47</v>
      </c>
      <c r="F14" s="11" t="n">
        <v>5321062.47</v>
      </c>
    </row>
    <row r="15">
      <c r="A15" s="10" t="inlineStr">
        <is>
          <t>2. Other Current Liabilities</t>
        </is>
      </c>
      <c r="B15" s="11" t="n">
        <v>328438.36</v>
      </c>
      <c r="C15" s="11" t="n">
        <v>354713.42</v>
      </c>
      <c r="D15" s="11" t="n">
        <v>383090.5</v>
      </c>
      <c r="E15" s="11" t="n">
        <v>413737.74</v>
      </c>
      <c r="F15" s="11" t="n">
        <v>446836.76</v>
      </c>
    </row>
    <row r="16">
      <c r="A16" s="10" t="inlineStr">
        <is>
          <t>3. Working Capital Gap (1-2)</t>
        </is>
      </c>
      <c r="B16" s="11" t="n">
        <v>2234837.45</v>
      </c>
      <c r="C16" s="11" t="n">
        <v>2710741.57</v>
      </c>
      <c r="D16" s="11" t="n">
        <v>3303210.42</v>
      </c>
      <c r="E16" s="11" t="n">
        <v>4021210.73</v>
      </c>
      <c r="F16" s="11" t="n">
        <v>4874225.71</v>
      </c>
    </row>
    <row r="17">
      <c r="A17" s="10" t="inlineStr">
        <is>
          <t>4. Min Stipulated NWC (25% of CA)</t>
        </is>
      </c>
      <c r="B17" s="11" t="n">
        <v>640818.95</v>
      </c>
      <c r="C17" s="11" t="n">
        <v>766363.75</v>
      </c>
      <c r="D17" s="11" t="n">
        <v>921575.23</v>
      </c>
      <c r="E17" s="11" t="n">
        <v>1108737.12</v>
      </c>
      <c r="F17" s="11" t="n">
        <v>1330265.62</v>
      </c>
    </row>
    <row r="18">
      <c r="A18" s="10" t="inlineStr">
        <is>
          <t>5. Actual / Projected NWC</t>
        </is>
      </c>
      <c r="B18" s="11" t="n">
        <v>1534837.45</v>
      </c>
      <c r="C18" s="11" t="n">
        <v>2010741.57</v>
      </c>
      <c r="D18" s="11" t="n">
        <v>2603210.42</v>
      </c>
      <c r="E18" s="11" t="n">
        <v>3321210.73</v>
      </c>
      <c r="F18" s="11" t="n">
        <v>4174225.71</v>
      </c>
    </row>
    <row r="19">
      <c r="A19" s="10" t="inlineStr">
        <is>
          <t>6. Item 3 - Item 4</t>
        </is>
      </c>
      <c r="B19" s="11" t="n">
        <v>1594018.5</v>
      </c>
      <c r="C19" s="11" t="n">
        <v>1944377.82</v>
      </c>
      <c r="D19" s="11" t="n">
        <v>2381635.19</v>
      </c>
      <c r="E19" s="11" t="n">
        <v>2912473.61</v>
      </c>
      <c r="F19" s="11" t="n">
        <v>3543960.09</v>
      </c>
    </row>
    <row r="20">
      <c r="A20" s="10" t="inlineStr">
        <is>
          <t>7. Item 3 - Item 5</t>
        </is>
      </c>
      <c r="B20" s="11" t="n">
        <v>700000</v>
      </c>
      <c r="C20" s="11" t="n">
        <v>700000</v>
      </c>
      <c r="D20" s="11" t="n">
        <v>700000</v>
      </c>
      <c r="E20" s="11" t="n">
        <v>700000</v>
      </c>
      <c r="F20" s="11" t="n">
        <v>700000</v>
      </c>
    </row>
    <row r="21">
      <c r="A21" s="12" t="inlineStr">
        <is>
          <t>8. MPBF Second Method</t>
        </is>
      </c>
      <c r="B21" s="13" t="n">
        <v>700000</v>
      </c>
      <c r="C21" s="13" t="n">
        <v>700000</v>
      </c>
      <c r="D21" s="13" t="n">
        <v>700000</v>
      </c>
      <c r="E21" s="13" t="n">
        <v>700000</v>
      </c>
      <c r="F21" s="13" t="n">
        <v>700000</v>
      </c>
    </row>
  </sheetData>
  <mergeCells count="3">
    <mergeCell ref="A13:F13"/>
    <mergeCell ref="A1:F1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Assessed Bank Finance (ABF)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1. Total Current Assets (TCA)</t>
        </is>
      </c>
      <c r="B4" s="13" t="n">
        <v>2563275.81</v>
      </c>
      <c r="C4" s="13" t="n">
        <v>3065454.99</v>
      </c>
      <c r="D4" s="13" t="n">
        <v>3686300.92</v>
      </c>
      <c r="E4" s="13" t="n">
        <v>4434948.47</v>
      </c>
      <c r="F4" s="13" t="n">
        <v>5321062.47</v>
      </c>
    </row>
    <row r="5">
      <c r="A5" s="10" t="inlineStr">
        <is>
          <t>2. Current Liabilities (other than bank borrowing)</t>
        </is>
      </c>
      <c r="B5" s="11" t="n">
        <v>328438.36</v>
      </c>
      <c r="C5" s="11" t="n">
        <v>354713.42</v>
      </c>
      <c r="D5" s="11" t="n">
        <v>383090.5</v>
      </c>
      <c r="E5" s="11" t="n">
        <v>413737.74</v>
      </c>
      <c r="F5" s="11" t="n">
        <v>446836.76</v>
      </c>
    </row>
    <row r="6">
      <c r="A6" s="12" t="inlineStr">
        <is>
          <t>3. Working Capital Gap (1 - 2)</t>
        </is>
      </c>
      <c r="B6" s="13" t="n">
        <v>2234837.45</v>
      </c>
      <c r="C6" s="13" t="n">
        <v>2710741.57</v>
      </c>
      <c r="D6" s="13" t="n">
        <v>3303210.42</v>
      </c>
      <c r="E6" s="13" t="n">
        <v>4021210.73</v>
      </c>
      <c r="F6" s="13" t="n">
        <v>4874225.71</v>
      </c>
    </row>
    <row r="7">
      <c r="A7" s="10" t="inlineStr">
        <is>
          <t>4. Net Working Capital (actual / projected)</t>
        </is>
      </c>
      <c r="B7" s="11" t="n">
        <v>1534837.45</v>
      </c>
      <c r="C7" s="11" t="n">
        <v>2010741.57</v>
      </c>
      <c r="D7" s="11" t="n">
        <v>2603210.42</v>
      </c>
      <c r="E7" s="11" t="n">
        <v>3321210.73</v>
      </c>
      <c r="F7" s="11" t="n">
        <v>4174225.71</v>
      </c>
    </row>
    <row r="8">
      <c r="A8" s="12" t="inlineStr">
        <is>
          <t>5. Assessed Bank Finance (3 - 4)</t>
        </is>
      </c>
      <c r="B8" s="13" t="n">
        <v>700000</v>
      </c>
      <c r="C8" s="13" t="n">
        <v>700000</v>
      </c>
      <c r="D8" s="13" t="n">
        <v>700000</v>
      </c>
      <c r="E8" s="13" t="n">
        <v>700000</v>
      </c>
      <c r="F8" s="13" t="n">
        <v>700000</v>
      </c>
    </row>
    <row r="9">
      <c r="A9" s="9" t="inlineStr">
        <is>
          <t>DIAGNOSTIC RATIOS</t>
        </is>
      </c>
    </row>
    <row r="10">
      <c r="A10" s="10" t="inlineStr">
        <is>
          <t>NWC / TCA (%)</t>
        </is>
      </c>
      <c r="B10" s="14" t="n">
        <v>59.9</v>
      </c>
      <c r="C10" s="14" t="n">
        <v>65.59999999999999</v>
      </c>
      <c r="D10" s="14" t="n">
        <v>70.59999999999999</v>
      </c>
      <c r="E10" s="14" t="n">
        <v>74.90000000000001</v>
      </c>
      <c r="F10" s="14" t="n">
        <v>78.40000000000001</v>
      </c>
    </row>
    <row r="11">
      <c r="A11" s="10" t="inlineStr">
        <is>
          <t>Bank Finance / TCA (%)</t>
        </is>
      </c>
      <c r="B11" s="14" t="n">
        <v>27.3</v>
      </c>
      <c r="C11" s="14" t="n">
        <v>22.8</v>
      </c>
      <c r="D11" s="14" t="n">
        <v>19</v>
      </c>
      <c r="E11" s="14" t="n">
        <v>15.8</v>
      </c>
      <c r="F11" s="14" t="n">
        <v>13.2</v>
      </c>
    </row>
    <row r="12">
      <c r="A12" s="10" t="inlineStr">
        <is>
          <t>Other CL / TCA (%)</t>
        </is>
      </c>
      <c r="B12" s="14" t="n">
        <v>12.8</v>
      </c>
      <c r="C12" s="14" t="n">
        <v>11.6</v>
      </c>
      <c r="D12" s="14" t="n">
        <v>10.4</v>
      </c>
      <c r="E12" s="14" t="n">
        <v>9.300000000000001</v>
      </c>
      <c r="F12" s="14" t="n">
        <v>8.4</v>
      </c>
    </row>
    <row r="13">
      <c r="A13" s="10" t="inlineStr">
        <is>
          <t>Sundry Creditors / TCA (%)</t>
        </is>
      </c>
      <c r="B13" s="14" t="n">
        <v>12.8</v>
      </c>
      <c r="C13" s="14" t="n">
        <v>11.6</v>
      </c>
      <c r="D13" s="14" t="n">
        <v>10.4</v>
      </c>
      <c r="E13" s="14" t="n">
        <v>9.300000000000001</v>
      </c>
      <c r="F13" s="14" t="n">
        <v>8.4</v>
      </c>
    </row>
    <row r="14">
      <c r="A14" s="10" t="inlineStr">
        <is>
          <t>Inventory / Net Sales (days)</t>
        </is>
      </c>
      <c r="B14" s="14" t="n">
        <v>35</v>
      </c>
      <c r="C14" s="14" t="n">
        <v>35</v>
      </c>
      <c r="D14" s="14" t="n">
        <v>35</v>
      </c>
      <c r="E14" s="14" t="n">
        <v>35</v>
      </c>
      <c r="F14" s="14" t="n">
        <v>35</v>
      </c>
    </row>
    <row r="15">
      <c r="A15" s="10" t="inlineStr">
        <is>
          <t>Receivables / Gross Sales (days)</t>
        </is>
      </c>
      <c r="B15" s="14" t="n">
        <v>30</v>
      </c>
      <c r="C15" s="14" t="n">
        <v>30</v>
      </c>
      <c r="D15" s="14" t="n">
        <v>30</v>
      </c>
      <c r="E15" s="14" t="n">
        <v>30</v>
      </c>
      <c r="F15" s="14" t="n">
        <v>30</v>
      </c>
    </row>
    <row r="16">
      <c r="A16" s="10" t="inlineStr">
        <is>
          <t>Sundry Creditors / Purchases (days)</t>
        </is>
      </c>
      <c r="B16" s="14" t="n">
        <v>30</v>
      </c>
      <c r="C16" s="14" t="n">
        <v>30</v>
      </c>
      <c r="D16" s="14" t="n">
        <v>30</v>
      </c>
      <c r="E16" s="14" t="n">
        <v>30</v>
      </c>
      <c r="F16" s="14" t="n">
        <v>30</v>
      </c>
    </row>
  </sheetData>
  <mergeCells count="2">
    <mergeCell ref="A1:F1"/>
    <mergeCell ref="A9:F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 ht="22" customHeight="1">
      <c r="A1" s="1" t="inlineStr">
        <is>
          <t>Security &amp; Collateral Coverage</t>
        </is>
      </c>
    </row>
    <row r="2">
      <c r="A2" s="5" t="inlineStr">
        <is>
          <t>Particulars</t>
        </is>
      </c>
      <c r="B2" s="6" t="inlineStr">
        <is>
          <t>Amount</t>
        </is>
      </c>
    </row>
    <row r="3">
      <c r="A3" s="7" t="inlineStr"/>
      <c r="B3" s="8" t="inlineStr">
        <is>
          <t>(Rs.)</t>
        </is>
      </c>
    </row>
    <row r="4">
      <c r="A4" s="9" t="inlineStr">
        <is>
          <t>A. PRIMARY SECURITY (hypothecation)</t>
        </is>
      </c>
    </row>
    <row r="5">
      <c r="A5" s="10" t="inlineStr">
        <is>
          <t>Fixed Assets financed (plant, machinery, etc.)</t>
        </is>
      </c>
      <c r="B5" s="11" t="n">
        <v>2500000</v>
      </c>
    </row>
    <row r="6">
      <c r="A6" s="10" t="inlineStr">
        <is>
          <t>Current Assets (stock + book debts), Yr 1</t>
        </is>
      </c>
      <c r="B6" s="11" t="n">
        <v>1407367.12</v>
      </c>
    </row>
    <row r="7">
      <c r="A7" s="12" t="inlineStr">
        <is>
          <t>Total Primary Security</t>
        </is>
      </c>
      <c r="B7" s="13" t="n">
        <v>3907367.12</v>
      </c>
    </row>
    <row r="8">
      <c r="A8" s="10" t="inlineStr">
        <is>
          <t xml:space="preserve">  Description: Hypothecation of moulding machines, moulds and entire current assets</t>
        </is>
      </c>
      <c r="B8" s="14" t="inlineStr"/>
    </row>
    <row r="9">
      <c r="A9" s="9" t="inlineStr">
        <is>
          <t>B. COLLATERAL SECURITY (offered)</t>
        </is>
      </c>
    </row>
    <row r="10">
      <c r="A10" s="10" t="inlineStr">
        <is>
          <t xml:space="preserve">  Property: Residential flat (self-owned)  [owner: Anil Deshmukh]</t>
        </is>
      </c>
      <c r="B10" s="11" t="n">
        <v>4500000</v>
      </c>
    </row>
    <row r="11">
      <c r="A11" s="10" t="inlineStr">
        <is>
          <t xml:space="preserve">  FD/NSC: Lien on bank fixed deposit  [owner: Anil Deshmukh]</t>
        </is>
      </c>
      <c r="B11" s="11" t="n">
        <v>800000</v>
      </c>
    </row>
    <row r="12">
      <c r="A12" s="12" t="inlineStr">
        <is>
          <t>Total Collateral - Market Value</t>
        </is>
      </c>
      <c r="B12" s="13" t="n">
        <v>5300000</v>
      </c>
    </row>
    <row r="13">
      <c r="A13" s="12" t="inlineStr">
        <is>
          <t>Total Collateral - Forced Sale Value (FSV)</t>
        </is>
      </c>
      <c r="B13" s="13" t="n">
        <v>4400000</v>
      </c>
    </row>
    <row r="14">
      <c r="A14" s="9" t="inlineStr">
        <is>
          <t>C. EXPOSURE &amp; COVERAGE</t>
        </is>
      </c>
    </row>
    <row r="15">
      <c r="A15" s="12" t="inlineStr">
        <is>
          <t>Total Bank Exposure (TL + WC)</t>
        </is>
      </c>
      <c r="B15" s="13" t="n">
        <v>2805400</v>
      </c>
    </row>
    <row r="16">
      <c r="A16" s="12" t="inlineStr">
        <is>
          <t>Total Security (Primary + Collateral MV)</t>
        </is>
      </c>
      <c r="B16" s="13" t="n">
        <v>9207367.119999999</v>
      </c>
    </row>
    <row r="17">
      <c r="A17" s="12" t="inlineStr">
        <is>
          <t>Asset Coverage Ratio (Total Security / Exposure)</t>
        </is>
      </c>
      <c r="B17" s="15" t="inlineStr">
        <is>
          <t>3.28x</t>
        </is>
      </c>
    </row>
    <row r="18">
      <c r="A18" s="10" t="inlineStr">
        <is>
          <t>Collateral FSV Coverage (FSV / Exposure)</t>
        </is>
      </c>
      <c r="B18" s="14" t="inlineStr">
        <is>
          <t>1.57x</t>
        </is>
      </c>
    </row>
    <row r="19">
      <c r="A19" s="10" t="inlineStr">
        <is>
          <t>CGTMSE Guarantee Cover</t>
        </is>
      </c>
      <c r="B19" s="14" t="inlineStr">
        <is>
          <t>Yes — 75.0%</t>
        </is>
      </c>
    </row>
    <row r="20">
      <c r="A20" s="10" t="inlineStr">
        <is>
          <t>Asset Insurance Arranged</t>
        </is>
      </c>
      <c r="B20" s="14" t="inlineStr">
        <is>
          <t>Yes</t>
        </is>
      </c>
    </row>
  </sheetData>
  <mergeCells count="4">
    <mergeCell ref="A4:B4"/>
    <mergeCell ref="A14:B14"/>
    <mergeCell ref="A9:B9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Term Loan Repayment Schedule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TERM LOAN</t>
        </is>
      </c>
    </row>
    <row r="5">
      <c r="A5" s="12" t="inlineStr">
        <is>
          <t>Opening Balance</t>
        </is>
      </c>
      <c r="B5" s="13" t="n">
        <v>2105400</v>
      </c>
      <c r="C5" s="13" t="n">
        <v>1943446.15</v>
      </c>
      <c r="D5" s="13" t="n">
        <v>1619538.46</v>
      </c>
      <c r="E5" s="13" t="n">
        <v>1295630.77</v>
      </c>
      <c r="F5" s="13" t="n">
        <v>971723.08</v>
      </c>
    </row>
    <row r="6">
      <c r="A6" s="10" t="inlineStr">
        <is>
          <t>Principal Repayment (during year)</t>
        </is>
      </c>
      <c r="B6" s="11" t="n">
        <v>161953.85</v>
      </c>
      <c r="C6" s="11" t="n">
        <v>323907.69</v>
      </c>
      <c r="D6" s="11" t="n">
        <v>323907.69</v>
      </c>
      <c r="E6" s="11" t="n">
        <v>323907.69</v>
      </c>
      <c r="F6" s="11" t="n">
        <v>323907.69</v>
      </c>
    </row>
    <row r="7">
      <c r="A7" s="10" t="inlineStr">
        <is>
          <t>Interest on Term Loan</t>
        </is>
      </c>
      <c r="B7" s="11" t="n">
        <v>217524.26</v>
      </c>
      <c r="C7" s="11" t="n">
        <v>188473.79</v>
      </c>
      <c r="D7" s="11" t="n">
        <v>154463.48</v>
      </c>
      <c r="E7" s="11" t="n">
        <v>120453.17</v>
      </c>
      <c r="F7" s="11" t="n">
        <v>86442.87</v>
      </c>
    </row>
    <row r="8">
      <c r="A8" s="12" t="inlineStr">
        <is>
          <t>Closing Balance</t>
        </is>
      </c>
      <c r="B8" s="13" t="n">
        <v>1943446.15</v>
      </c>
      <c r="C8" s="13" t="n">
        <v>1619538.46</v>
      </c>
      <c r="D8" s="13" t="n">
        <v>1295630.77</v>
      </c>
      <c r="E8" s="13" t="n">
        <v>971723.08</v>
      </c>
      <c r="F8" s="13" t="n">
        <v>647815.38</v>
      </c>
    </row>
    <row r="9">
      <c r="A9" s="9" t="inlineStr">
        <is>
          <t>WORKING CAPITAL</t>
        </is>
      </c>
    </row>
    <row r="10">
      <c r="A10" s="10" t="inlineStr">
        <is>
          <t>WC Outstanding (revolving)</t>
        </is>
      </c>
      <c r="B10" s="11" t="n">
        <v>700000</v>
      </c>
      <c r="C10" s="11" t="n">
        <v>700000</v>
      </c>
      <c r="D10" s="11" t="n">
        <v>700000</v>
      </c>
      <c r="E10" s="11" t="n">
        <v>700000</v>
      </c>
      <c r="F10" s="11" t="n">
        <v>700000</v>
      </c>
    </row>
    <row r="11">
      <c r="A11" s="10" t="inlineStr">
        <is>
          <t>Interest on Working Capital</t>
        </is>
      </c>
      <c r="B11" s="11" t="n">
        <v>73500</v>
      </c>
      <c r="C11" s="11" t="n">
        <v>73500</v>
      </c>
      <c r="D11" s="11" t="n">
        <v>73500</v>
      </c>
      <c r="E11" s="11" t="n">
        <v>73500</v>
      </c>
      <c r="F11" s="11" t="n">
        <v>73500</v>
      </c>
    </row>
    <row r="12">
      <c r="A12" s="12" t="inlineStr">
        <is>
          <t>TOTAL INTEREST (TL + WC)</t>
        </is>
      </c>
      <c r="B12" s="13" t="n">
        <v>291024.26</v>
      </c>
      <c r="C12" s="13" t="n">
        <v>261973.79</v>
      </c>
      <c r="D12" s="13" t="n">
        <v>227963.48</v>
      </c>
      <c r="E12" s="13" t="n">
        <v>193953.17</v>
      </c>
      <c r="F12" s="13" t="n">
        <v>159942.87</v>
      </c>
    </row>
  </sheetData>
  <mergeCells count="3">
    <mergeCell ref="A1:F1"/>
    <mergeCell ref="A9:F9"/>
    <mergeCell ref="A4:F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Form VI - Fund Flow Statement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1. SOURCES</t>
        </is>
      </c>
    </row>
    <row r="5">
      <c r="A5" s="10" t="inlineStr">
        <is>
          <t xml:space="preserve">  (a) Net Profit</t>
        </is>
      </c>
      <c r="B5" s="11" t="n">
        <v>479791.3</v>
      </c>
      <c r="C5" s="11" t="n">
        <v>604811.8100000001</v>
      </c>
      <c r="D5" s="11" t="n">
        <v>739381.54</v>
      </c>
      <c r="E5" s="11" t="n">
        <v>880084.25</v>
      </c>
      <c r="F5" s="11" t="n">
        <v>1028174.67</v>
      </c>
    </row>
    <row r="6">
      <c r="A6" s="10" t="inlineStr">
        <is>
          <t xml:space="preserve">  (b) Depreciation</t>
        </is>
      </c>
      <c r="B6" s="11" t="n">
        <v>197000</v>
      </c>
      <c r="C6" s="11" t="n">
        <v>175000</v>
      </c>
      <c r="D6" s="11" t="n">
        <v>156995</v>
      </c>
      <c r="E6" s="11" t="n">
        <v>141823.75</v>
      </c>
      <c r="F6" s="11" t="n">
        <v>128748.01</v>
      </c>
    </row>
    <row r="7">
      <c r="A7" s="10" t="inlineStr">
        <is>
          <t xml:space="preserve">  (c) Increase in Capital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</row>
    <row r="8">
      <c r="A8" s="10" t="inlineStr">
        <is>
          <t xml:space="preserve">  (d) Increase in Term Liabilities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</row>
    <row r="9">
      <c r="A9" s="12" t="inlineStr">
        <is>
          <t xml:space="preserve">  Total Sources</t>
        </is>
      </c>
      <c r="B9" s="13" t="n">
        <v>696791.3</v>
      </c>
      <c r="C9" s="13" t="n">
        <v>799811.8100000001</v>
      </c>
      <c r="D9" s="13" t="n">
        <v>916376.54</v>
      </c>
      <c r="E9" s="13" t="n">
        <v>1041908</v>
      </c>
      <c r="F9" s="13" t="n">
        <v>1176922.68</v>
      </c>
    </row>
    <row r="10">
      <c r="A10" s="9" t="inlineStr">
        <is>
          <t>2. USES</t>
        </is>
      </c>
    </row>
    <row r="11">
      <c r="A11" s="10" t="inlineStr">
        <is>
          <t xml:space="preserve">  (a) Purchase of Fixed Assets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</row>
    <row r="12">
      <c r="A12" s="10" t="inlineStr">
        <is>
          <t xml:space="preserve">  (b) Repayment of Term Liabilities</t>
        </is>
      </c>
      <c r="B12" s="11" t="n">
        <v>161953.85</v>
      </c>
      <c r="C12" s="11" t="n">
        <v>323907.69</v>
      </c>
      <c r="D12" s="11" t="n">
        <v>323907.69</v>
      </c>
      <c r="E12" s="11" t="n">
        <v>323907.69</v>
      </c>
      <c r="F12" s="11" t="n">
        <v>323907.7</v>
      </c>
    </row>
    <row r="13">
      <c r="A13" s="12" t="inlineStr">
        <is>
          <t xml:space="preserve">  Total Uses</t>
        </is>
      </c>
      <c r="B13" s="13" t="n">
        <v>161953.85</v>
      </c>
      <c r="C13" s="13" t="n">
        <v>323907.69</v>
      </c>
      <c r="D13" s="13" t="n">
        <v>323907.69</v>
      </c>
      <c r="E13" s="13" t="n">
        <v>323907.69</v>
      </c>
      <c r="F13" s="13" t="n">
        <v>323907.7</v>
      </c>
    </row>
    <row r="14">
      <c r="A14" s="12" t="inlineStr">
        <is>
          <t>3. Long Term Surplus / (Deficit)</t>
        </is>
      </c>
      <c r="B14" s="13" t="n">
        <v>534837.45</v>
      </c>
      <c r="C14" s="13" t="n">
        <v>475904.12</v>
      </c>
      <c r="D14" s="13" t="n">
        <v>592468.85</v>
      </c>
      <c r="E14" s="13" t="n">
        <v>718000.3100000001</v>
      </c>
      <c r="F14" s="13" t="n">
        <v>853014.98</v>
      </c>
    </row>
    <row r="15">
      <c r="A15" s="10" t="inlineStr">
        <is>
          <t>4. Increase / (Decrease) in Current Assets</t>
        </is>
      </c>
      <c r="B15" s="11" t="n">
        <v>2563275.81</v>
      </c>
      <c r="C15" s="11" t="n">
        <v>502179.18</v>
      </c>
      <c r="D15" s="11" t="n">
        <v>620845.9300000001</v>
      </c>
      <c r="E15" s="11" t="n">
        <v>748647.55</v>
      </c>
      <c r="F15" s="11" t="n">
        <v>886114</v>
      </c>
    </row>
    <row r="16">
      <c r="A16" s="10" t="inlineStr">
        <is>
          <t>5. Increase / (Decrease) in Current Liabilities</t>
        </is>
      </c>
      <c r="B16" s="11" t="n">
        <v>328438.36</v>
      </c>
      <c r="C16" s="11" t="n">
        <v>26275.06</v>
      </c>
      <c r="D16" s="11" t="n">
        <v>28377.08</v>
      </c>
      <c r="E16" s="11" t="n">
        <v>30647.24</v>
      </c>
      <c r="F16" s="11" t="n">
        <v>33099.02</v>
      </c>
    </row>
    <row r="17">
      <c r="A17" s="10" t="inlineStr">
        <is>
          <t>6. Increase / (Decrease) in Working Capital</t>
        </is>
      </c>
      <c r="B17" s="11" t="n">
        <v>2234837.45</v>
      </c>
      <c r="C17" s="11" t="n">
        <v>475904.12</v>
      </c>
      <c r="D17" s="11" t="n">
        <v>592468.85</v>
      </c>
      <c r="E17" s="11" t="n">
        <v>718000.3100000001</v>
      </c>
      <c r="F17" s="11" t="n">
        <v>853014.98</v>
      </c>
    </row>
    <row r="18">
      <c r="A18" s="12" t="inlineStr">
        <is>
          <t>7. Net Surplus / (Deficit)</t>
        </is>
      </c>
      <c r="B18" s="13" t="n">
        <v>-1700000</v>
      </c>
      <c r="C18" s="13" t="n">
        <v>-0</v>
      </c>
      <c r="D18" s="13" t="n">
        <v>0</v>
      </c>
      <c r="E18" s="13" t="n">
        <v>0</v>
      </c>
      <c r="F18" s="13" t="n">
        <v>-0</v>
      </c>
    </row>
  </sheetData>
  <mergeCells count="3">
    <mergeCell ref="A1:F1"/>
    <mergeCell ref="A4:F4"/>
    <mergeCell ref="A10:F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Form V - Cash Flow Statement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A. Operating Cash Flow</t>
        </is>
      </c>
      <c r="B4" s="13" t="n">
        <v>-382137.46</v>
      </c>
      <c r="C4" s="13" t="n">
        <v>716083.8</v>
      </c>
      <c r="D4" s="13" t="n">
        <v>825556.13</v>
      </c>
      <c r="E4" s="13" t="n">
        <v>943529.1899999999</v>
      </c>
      <c r="F4" s="13" t="n">
        <v>1070446.92</v>
      </c>
    </row>
    <row r="5">
      <c r="A5" s="10" t="inlineStr">
        <is>
          <t xml:space="preserve">   Working Capital Change</t>
        </is>
      </c>
      <c r="B5" s="11" t="n">
        <v>-1078928.76</v>
      </c>
      <c r="C5" s="11" t="n">
        <v>-83728.00999999999</v>
      </c>
      <c r="D5" s="11" t="n">
        <v>-90820.41</v>
      </c>
      <c r="E5" s="11" t="n">
        <v>-98378.81</v>
      </c>
      <c r="F5" s="11" t="n">
        <v>-106475.76</v>
      </c>
    </row>
    <row r="6">
      <c r="A6" s="12" t="inlineStr">
        <is>
          <t>B. Investing Cash Flow</t>
        </is>
      </c>
      <c r="B6" s="13" t="n">
        <v>-0</v>
      </c>
      <c r="C6" s="13" t="n">
        <v>-0</v>
      </c>
      <c r="D6" s="13" t="n">
        <v>-0</v>
      </c>
      <c r="E6" s="13" t="n">
        <v>-0</v>
      </c>
      <c r="F6" s="13" t="n">
        <v>0</v>
      </c>
    </row>
    <row r="7">
      <c r="A7" s="12" t="inlineStr">
        <is>
          <t>C. Financing Cash Flow</t>
        </is>
      </c>
      <c r="B7" s="13" t="n">
        <v>-161953.85</v>
      </c>
      <c r="C7" s="13" t="n">
        <v>-323907.69</v>
      </c>
      <c r="D7" s="13" t="n">
        <v>-323907.69</v>
      </c>
      <c r="E7" s="13" t="n">
        <v>-323907.69</v>
      </c>
      <c r="F7" s="13" t="n">
        <v>-323907.7</v>
      </c>
    </row>
    <row r="8">
      <c r="A8" s="12" t="inlineStr">
        <is>
          <t>Net Increase in Cash (A+B+C)</t>
        </is>
      </c>
      <c r="B8" s="13" t="n">
        <v>-544091.3100000001</v>
      </c>
      <c r="C8" s="13" t="n">
        <v>392176.11</v>
      </c>
      <c r="D8" s="13" t="n">
        <v>501648.44</v>
      </c>
      <c r="E8" s="13" t="n">
        <v>619621.5</v>
      </c>
      <c r="F8" s="13" t="n">
        <v>746539.22</v>
      </c>
    </row>
    <row r="9">
      <c r="A9" s="10" t="inlineStr">
        <is>
          <t>Opening Cash &amp; Bank</t>
        </is>
      </c>
      <c r="B9" s="11" t="n">
        <v>1700000</v>
      </c>
      <c r="C9" s="11" t="n">
        <v>1155908.68</v>
      </c>
      <c r="D9" s="11" t="n">
        <v>1548084.8</v>
      </c>
      <c r="E9" s="11" t="n">
        <v>2049733.23</v>
      </c>
      <c r="F9" s="11" t="n">
        <v>2669354.74</v>
      </c>
    </row>
    <row r="10">
      <c r="A10" s="12" t="inlineStr">
        <is>
          <t>Closing Cash &amp; Bank (= Balance Sheet)</t>
        </is>
      </c>
      <c r="B10" s="13" t="n">
        <v>1155908.68</v>
      </c>
      <c r="C10" s="13" t="n">
        <v>1548084.8</v>
      </c>
      <c r="D10" s="13" t="n">
        <v>2049733.23</v>
      </c>
      <c r="E10" s="13" t="n">
        <v>2669354.74</v>
      </c>
      <c r="F10" s="13" t="n">
        <v>3415893.96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Debt Service Coverage Ratio (DSCR)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A. CASH ACCRUALS (Sources)</t>
        </is>
      </c>
    </row>
    <row r="5">
      <c r="A5" s="10" t="inlineStr">
        <is>
          <t>Net Profit After Tax</t>
        </is>
      </c>
      <c r="B5" s="11" t="n">
        <v>479791.3</v>
      </c>
      <c r="C5" s="11" t="n">
        <v>604811.8100000001</v>
      </c>
      <c r="D5" s="11" t="n">
        <v>739381.54</v>
      </c>
      <c r="E5" s="11" t="n">
        <v>880084.25</v>
      </c>
      <c r="F5" s="11" t="n">
        <v>1028174.67</v>
      </c>
    </row>
    <row r="6">
      <c r="A6" s="10" t="inlineStr">
        <is>
          <t>Add: Depreciation</t>
        </is>
      </c>
      <c r="B6" s="11" t="n">
        <v>197000</v>
      </c>
      <c r="C6" s="11" t="n">
        <v>175000</v>
      </c>
      <c r="D6" s="11" t="n">
        <v>156995</v>
      </c>
      <c r="E6" s="11" t="n">
        <v>141823.75</v>
      </c>
      <c r="F6" s="11" t="n">
        <v>128748.01</v>
      </c>
    </row>
    <row r="7">
      <c r="A7" s="10" t="inlineStr">
        <is>
          <t>Add: Preliminary Expenses Written Off</t>
        </is>
      </c>
      <c r="B7" s="11" t="n">
        <v>20000</v>
      </c>
      <c r="C7" s="11" t="n">
        <v>20000</v>
      </c>
      <c r="D7" s="11" t="n">
        <v>20000</v>
      </c>
      <c r="E7" s="11" t="n">
        <v>20000</v>
      </c>
      <c r="F7" s="11" t="n">
        <v>20000</v>
      </c>
    </row>
    <row r="8">
      <c r="A8" s="10" t="inlineStr">
        <is>
          <t>Add: Interest on Term Loan</t>
        </is>
      </c>
      <c r="B8" s="11" t="n">
        <v>217524.26</v>
      </c>
      <c r="C8" s="11" t="n">
        <v>188473.79</v>
      </c>
      <c r="D8" s="11" t="n">
        <v>154463.48</v>
      </c>
      <c r="E8" s="11" t="n">
        <v>120453.17</v>
      </c>
      <c r="F8" s="11" t="n">
        <v>86442.87</v>
      </c>
    </row>
    <row r="9">
      <c r="A9" s="12" t="inlineStr">
        <is>
          <t>Total (A)</t>
        </is>
      </c>
      <c r="B9" s="13" t="n">
        <v>914315.5600000001</v>
      </c>
      <c r="C9" s="13" t="n">
        <v>988285.6000000001</v>
      </c>
      <c r="D9" s="13" t="n">
        <v>1070840.02</v>
      </c>
      <c r="E9" s="13" t="n">
        <v>1162361.17</v>
      </c>
      <c r="F9" s="13" t="n">
        <v>1263365.55</v>
      </c>
    </row>
    <row r="10">
      <c r="A10" s="9" t="inlineStr">
        <is>
          <t>B. DEBT OBLIGATIONS (Uses)</t>
        </is>
      </c>
    </row>
    <row r="11">
      <c r="A11" s="10" t="inlineStr">
        <is>
          <t>Interest on Term Loan</t>
        </is>
      </c>
      <c r="B11" s="11" t="n">
        <v>217524.26</v>
      </c>
      <c r="C11" s="11" t="n">
        <v>188473.79</v>
      </c>
      <c r="D11" s="11" t="n">
        <v>154463.48</v>
      </c>
      <c r="E11" s="11" t="n">
        <v>120453.17</v>
      </c>
      <c r="F11" s="11" t="n">
        <v>86442.87</v>
      </c>
    </row>
    <row r="12">
      <c r="A12" s="10" t="inlineStr">
        <is>
          <t>Repayment of Term Loan</t>
        </is>
      </c>
      <c r="B12" s="11" t="n">
        <v>161953.85</v>
      </c>
      <c r="C12" s="11" t="n">
        <v>323907.69</v>
      </c>
      <c r="D12" s="11" t="n">
        <v>323907.69</v>
      </c>
      <c r="E12" s="11" t="n">
        <v>323907.69</v>
      </c>
      <c r="F12" s="11" t="n">
        <v>323907.69</v>
      </c>
    </row>
    <row r="13">
      <c r="A13" s="12" t="inlineStr">
        <is>
          <t>Total (B)</t>
        </is>
      </c>
      <c r="B13" s="13" t="n">
        <v>379478.11</v>
      </c>
      <c r="C13" s="13" t="n">
        <v>512381.48</v>
      </c>
      <c r="D13" s="13" t="n">
        <v>478371.17</v>
      </c>
      <c r="E13" s="13" t="n">
        <v>444360.86</v>
      </c>
      <c r="F13" s="13" t="n">
        <v>410350.56</v>
      </c>
    </row>
    <row r="14">
      <c r="A14" s="12" t="inlineStr">
        <is>
          <t>DSCR (A / B)</t>
        </is>
      </c>
      <c r="B14" s="15" t="n">
        <v>2.41</v>
      </c>
      <c r="C14" s="15" t="n">
        <v>1.93</v>
      </c>
      <c r="D14" s="15" t="n">
        <v>2.24</v>
      </c>
      <c r="E14" s="15" t="n">
        <v>2.62</v>
      </c>
      <c r="F14" s="15" t="n">
        <v>3.08</v>
      </c>
    </row>
  </sheetData>
  <mergeCells count="3">
    <mergeCell ref="A1:F1"/>
    <mergeCell ref="A4:F4"/>
    <mergeCell ref="A10:F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Form VII - Breakeven Analysis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1. Net Sales</t>
        </is>
      </c>
      <c r="B4" s="13" t="n">
        <v>7912800</v>
      </c>
      <c r="C4" s="13" t="n">
        <v>8545824</v>
      </c>
      <c r="D4" s="13" t="n">
        <v>9229489.92</v>
      </c>
      <c r="E4" s="13" t="n">
        <v>9967849.109999999</v>
      </c>
      <c r="F4" s="13" t="n">
        <v>10765277.04</v>
      </c>
    </row>
    <row r="5">
      <c r="A5" s="10" t="inlineStr">
        <is>
          <t>2. Variable Costs</t>
        </is>
      </c>
      <c r="B5" s="11" t="n">
        <v>3996000</v>
      </c>
      <c r="C5" s="11" t="n">
        <v>4315680</v>
      </c>
      <c r="D5" s="11" t="n">
        <v>4660934.4</v>
      </c>
      <c r="E5" s="11" t="n">
        <v>5033809.15</v>
      </c>
      <c r="F5" s="11" t="n">
        <v>5436513.88</v>
      </c>
    </row>
    <row r="6">
      <c r="A6" s="12" t="inlineStr">
        <is>
          <t>3. Contribution (1 - 2)</t>
        </is>
      </c>
      <c r="B6" s="13" t="n">
        <v>3916800</v>
      </c>
      <c r="C6" s="13" t="n">
        <v>4230144</v>
      </c>
      <c r="D6" s="13" t="n">
        <v>4568555.52</v>
      </c>
      <c r="E6" s="13" t="n">
        <v>4934039.96</v>
      </c>
      <c r="F6" s="13" t="n">
        <v>5328763.16</v>
      </c>
    </row>
    <row r="7">
      <c r="A7" s="10" t="inlineStr">
        <is>
          <t xml:space="preserve">   Contribution (% of Sales)</t>
        </is>
      </c>
      <c r="B7" s="14" t="n">
        <v>49.5</v>
      </c>
      <c r="C7" s="14" t="n">
        <v>49.5</v>
      </c>
      <c r="D7" s="14" t="n">
        <v>49.5</v>
      </c>
      <c r="E7" s="14" t="n">
        <v>49.5</v>
      </c>
      <c r="F7" s="14" t="n">
        <v>49.5</v>
      </c>
    </row>
    <row r="8">
      <c r="A8" s="10" t="inlineStr">
        <is>
          <t>4. Fixed Costs</t>
        </is>
      </c>
      <c r="B8" s="11" t="n">
        <v>2945000</v>
      </c>
      <c r="C8" s="11" t="n">
        <v>3122320</v>
      </c>
      <c r="D8" s="11" t="n">
        <v>3318554.6</v>
      </c>
      <c r="E8" s="11" t="n">
        <v>3533684.82</v>
      </c>
      <c r="F8" s="11" t="n">
        <v>3768203.5</v>
      </c>
    </row>
    <row r="9">
      <c r="A9" s="12" t="inlineStr">
        <is>
          <t>5. Breakeven Point (Sales Value)</t>
        </is>
      </c>
      <c r="B9" s="13" t="n">
        <v>5949549.63</v>
      </c>
      <c r="C9" s="13" t="n">
        <v>6307775.15</v>
      </c>
      <c r="D9" s="13" t="n">
        <v>6704212.33</v>
      </c>
      <c r="E9" s="13" t="n">
        <v>7138822.83</v>
      </c>
      <c r="F9" s="13" t="n">
        <v>7612602.29</v>
      </c>
    </row>
    <row r="10">
      <c r="A10" s="10" t="inlineStr">
        <is>
          <t>6. Breakeven % (on Net Sales)</t>
        </is>
      </c>
      <c r="B10" s="14" t="n">
        <v>75.19</v>
      </c>
      <c r="C10" s="14" t="n">
        <v>73.81</v>
      </c>
      <c r="D10" s="14" t="n">
        <v>72.64</v>
      </c>
      <c r="E10" s="14" t="n">
        <v>71.62</v>
      </c>
      <c r="F10" s="14" t="n">
        <v>70.70999999999999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Sensitivity Analysis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1. BASE CASE (PROJECTIONS)</t>
        </is>
      </c>
    </row>
    <row r="5">
      <c r="A5" s="10" t="inlineStr">
        <is>
          <t xml:space="preserve">  Net Sales</t>
        </is>
      </c>
      <c r="B5" s="11" t="n">
        <v>7912800</v>
      </c>
      <c r="C5" s="11" t="n">
        <v>8545824</v>
      </c>
      <c r="D5" s="11" t="n">
        <v>9229489.92</v>
      </c>
      <c r="E5" s="11" t="n">
        <v>9967849.109999999</v>
      </c>
      <c r="F5" s="11" t="n">
        <v>10765277.04</v>
      </c>
    </row>
    <row r="6">
      <c r="A6" s="10" t="inlineStr">
        <is>
          <t xml:space="preserve">  Net Profit After Tax</t>
        </is>
      </c>
      <c r="B6" s="11" t="n">
        <v>479791.3</v>
      </c>
      <c r="C6" s="11" t="n">
        <v>604811.8100000001</v>
      </c>
      <c r="D6" s="11" t="n">
        <v>739381.54</v>
      </c>
      <c r="E6" s="11" t="n">
        <v>880084.24</v>
      </c>
      <c r="F6" s="11" t="n">
        <v>1028174.67</v>
      </c>
    </row>
    <row r="7">
      <c r="A7" s="10" t="inlineStr">
        <is>
          <t xml:space="preserve">  DSCR</t>
        </is>
      </c>
      <c r="B7" s="14" t="n">
        <v>2.41</v>
      </c>
      <c r="C7" s="14" t="n">
        <v>1.93</v>
      </c>
      <c r="D7" s="14" t="n">
        <v>2.24</v>
      </c>
      <c r="E7" s="14" t="n">
        <v>2.62</v>
      </c>
      <c r="F7" s="14" t="n">
        <v>3.08</v>
      </c>
    </row>
    <row r="8">
      <c r="A8" s="9" t="inlineStr">
        <is>
          <t>2. SALES DECREASE BY 10%</t>
        </is>
      </c>
    </row>
    <row r="9">
      <c r="A9" s="10" t="inlineStr">
        <is>
          <t xml:space="preserve">  Net Sales</t>
        </is>
      </c>
      <c r="B9" s="11" t="n">
        <v>7121520</v>
      </c>
      <c r="C9" s="11" t="n">
        <v>7691241.6</v>
      </c>
      <c r="D9" s="11" t="n">
        <v>8306540.93</v>
      </c>
      <c r="E9" s="11" t="n">
        <v>8971064.199999999</v>
      </c>
      <c r="F9" s="11" t="n">
        <v>9688749.34</v>
      </c>
    </row>
    <row r="10">
      <c r="A10" s="10" t="inlineStr">
        <is>
          <t xml:space="preserve">  Net Profit After Tax</t>
        </is>
      </c>
      <c r="B10" s="11" t="n">
        <v>186031.3</v>
      </c>
      <c r="C10" s="11" t="n">
        <v>287551.01</v>
      </c>
      <c r="D10" s="11" t="n">
        <v>396739.88</v>
      </c>
      <c r="E10" s="11" t="n">
        <v>510031.25</v>
      </c>
      <c r="F10" s="11" t="n">
        <v>628517.4300000001</v>
      </c>
    </row>
    <row r="11">
      <c r="A11" s="10" t="inlineStr">
        <is>
          <t xml:space="preserve">  DSCR</t>
        </is>
      </c>
      <c r="B11" s="14" t="n">
        <v>1.64</v>
      </c>
      <c r="C11" s="14" t="n">
        <v>1.31</v>
      </c>
      <c r="D11" s="14" t="n">
        <v>1.52</v>
      </c>
      <c r="E11" s="14" t="n">
        <v>1.78</v>
      </c>
      <c r="F11" s="14" t="n">
        <v>2.1</v>
      </c>
    </row>
    <row r="12">
      <c r="A12" s="9" t="inlineStr">
        <is>
          <t>3. RAW MATERIAL / CONSUMABLE COST +10%</t>
        </is>
      </c>
    </row>
    <row r="13">
      <c r="A13" s="10" t="inlineStr">
        <is>
          <t xml:space="preserve">  Net Sales</t>
        </is>
      </c>
      <c r="B13" s="11" t="n">
        <v>7912800</v>
      </c>
      <c r="C13" s="11" t="n">
        <v>8545824</v>
      </c>
      <c r="D13" s="11" t="n">
        <v>9229489.92</v>
      </c>
      <c r="E13" s="11" t="n">
        <v>9967849.109999999</v>
      </c>
      <c r="F13" s="11" t="n">
        <v>10765277.04</v>
      </c>
    </row>
    <row r="14">
      <c r="A14" s="10" t="inlineStr">
        <is>
          <t xml:space="preserve">  Net Profit After Tax</t>
        </is>
      </c>
      <c r="B14" s="11" t="n">
        <v>180091.3</v>
      </c>
      <c r="C14" s="11" t="n">
        <v>281135.81</v>
      </c>
      <c r="D14" s="11" t="n">
        <v>389811.46</v>
      </c>
      <c r="E14" s="11" t="n">
        <v>502548.56</v>
      </c>
      <c r="F14" s="11" t="n">
        <v>620436.13</v>
      </c>
    </row>
    <row r="15">
      <c r="A15" s="10" t="inlineStr">
        <is>
          <t xml:space="preserve">  DSCR</t>
        </is>
      </c>
      <c r="B15" s="14" t="n">
        <v>1.62</v>
      </c>
      <c r="C15" s="14" t="n">
        <v>1.3</v>
      </c>
      <c r="D15" s="14" t="n">
        <v>1.51</v>
      </c>
      <c r="E15" s="14" t="n">
        <v>1.77</v>
      </c>
      <c r="F15" s="14" t="n">
        <v>2.09</v>
      </c>
    </row>
    <row r="16">
      <c r="A16" s="9" t="inlineStr">
        <is>
          <t>4. INTEREST RATE INCREASE BY 2%</t>
        </is>
      </c>
    </row>
    <row r="17">
      <c r="A17" s="10" t="inlineStr">
        <is>
          <t xml:space="preserve">  Net Sales</t>
        </is>
      </c>
      <c r="B17" s="11" t="n">
        <v>7912800</v>
      </c>
      <c r="C17" s="11" t="n">
        <v>8545824</v>
      </c>
      <c r="D17" s="11" t="n">
        <v>9229489.92</v>
      </c>
      <c r="E17" s="11" t="n">
        <v>9967849.109999999</v>
      </c>
      <c r="F17" s="11" t="n">
        <v>10765277.04</v>
      </c>
    </row>
    <row r="18">
      <c r="A18" s="10" t="inlineStr">
        <is>
          <t xml:space="preserve">  Net Profit After Tax</t>
        </is>
      </c>
      <c r="B18" s="11" t="n">
        <v>438216.41</v>
      </c>
      <c r="C18" s="11" t="n">
        <v>567386.99</v>
      </c>
      <c r="D18" s="11" t="n">
        <v>706815.33</v>
      </c>
      <c r="E18" s="11" t="n">
        <v>852376.65</v>
      </c>
      <c r="F18" s="11" t="n">
        <v>1005325.69</v>
      </c>
    </row>
    <row r="19">
      <c r="A19" s="10" t="inlineStr">
        <is>
          <t xml:space="preserve">  DSCR</t>
        </is>
      </c>
      <c r="B19" s="14" t="n">
        <v>2.17</v>
      </c>
      <c r="C19" s="14" t="n">
        <v>1.8</v>
      </c>
      <c r="D19" s="14" t="n">
        <v>2.1</v>
      </c>
      <c r="E19" s="14" t="n">
        <v>2.48</v>
      </c>
      <c r="F19" s="14" t="n">
        <v>2.95</v>
      </c>
    </row>
  </sheetData>
  <mergeCells count="5">
    <mergeCell ref="A16:F16"/>
    <mergeCell ref="A1:F1"/>
    <mergeCell ref="A8:F8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2026-07-17T20:37:00Z</dcterms:created>
  <dcterms:modified xsi:type="dcterms:W3CDTF">2026-07-17T20:37:00Z</dcterms:modified>
</cp:coreProperties>
</file>